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ITI DA\a5 Freelancing\6 Excel\"/>
    </mc:Choice>
  </mc:AlternateContent>
  <xr:revisionPtr revIDLastSave="0" documentId="13_ncr:1_{E46D7751-6514-4BC7-BEA0-EB1FC5D80DF4}" xr6:coauthVersionLast="47" xr6:coauthVersionMax="47" xr10:uidLastSave="{00000000-0000-0000-0000-000000000000}"/>
  <bookViews>
    <workbookView xWindow="-108" yWindow="-108" windowWidth="23256" windowHeight="12456" activeTab="1" xr2:uid="{00000000-000D-0000-FFFF-FFFF00000000}"/>
  </bookViews>
  <sheets>
    <sheet name="Table1" sheetId="2" r:id="rId1"/>
    <sheet name="Sheet1" sheetId="1" r:id="rId2"/>
  </sheets>
  <definedNames>
    <definedName name="Slicer_Date__Month">#N/A</definedName>
    <definedName name="Timeline_Date">#N/A</definedName>
  </definedNames>
  <calcPr calcId="0"/>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FCE2AD5D-F65C-4FA6-A056-5C36A1767C68}">
      <x15:dataModel>
        <x15:modelTables>
          <x15:modelTable id="Table1_8170dc8d-7d3f-4de3-b8fa-0765da10655c" name="Table1" connection="Query - 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9B2DA6-E96D-4917-A893-F483B0E185A7}" name="Query - Table1" description="Connection to the 'Table1' query in the workbook." type="100" refreshedVersion="7" minRefreshableVersion="5">
    <extLst>
      <ext xmlns:x15="http://schemas.microsoft.com/office/spreadsheetml/2010/11/main" uri="{DE250136-89BD-433C-8126-D09CA5730AF9}">
        <x15:connection id="75708243-b70a-4b7e-86f0-51a08da865a3"/>
      </ext>
    </extLst>
  </connection>
  <connection id="2" xr16:uid="{E8561380-7E3E-461A-8213-F5F92C2830A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<sst xmlns="http://schemas.openxmlformats.org/spreadsheetml/2006/main" count="55" uniqueCount="39">
  <si>
    <t>Evening</t>
  </si>
  <si>
    <t>Google Ads</t>
  </si>
  <si>
    <t>Returning</t>
  </si>
  <si>
    <t>Heritage Bakes</t>
  </si>
  <si>
    <t>Morning</t>
  </si>
  <si>
    <t>Walk-in</t>
  </si>
  <si>
    <t>New</t>
  </si>
  <si>
    <t>Afternoon</t>
  </si>
  <si>
    <t>Email</t>
  </si>
  <si>
    <t>Instagram</t>
  </si>
  <si>
    <t>Facebook</t>
  </si>
  <si>
    <t>Referral</t>
  </si>
  <si>
    <t>Night</t>
  </si>
  <si>
    <t>Susan Garcia</t>
  </si>
  <si>
    <t>Scott Brown</t>
  </si>
  <si>
    <t>Michael Smith</t>
  </si>
  <si>
    <t>Tiffany Davis</t>
  </si>
  <si>
    <t>Chad Williams</t>
  </si>
  <si>
    <t>Andrew Chavez</t>
  </si>
  <si>
    <t>Christopher Jones</t>
  </si>
  <si>
    <t>Row Labels</t>
  </si>
  <si>
    <t>Grand Total</t>
  </si>
  <si>
    <t>Total Orders</t>
  </si>
  <si>
    <t>Total Channels</t>
  </si>
  <si>
    <t>Sum of Revenue</t>
  </si>
  <si>
    <t>Total Revenue</t>
  </si>
  <si>
    <t>Jan</t>
  </si>
  <si>
    <t>Feb</t>
  </si>
  <si>
    <t>Mar</t>
  </si>
  <si>
    <t>Apr</t>
  </si>
  <si>
    <t>May</t>
  </si>
  <si>
    <t>Jun</t>
  </si>
  <si>
    <t>Jul</t>
  </si>
  <si>
    <t>Aug</t>
  </si>
  <si>
    <t>Sep</t>
  </si>
  <si>
    <t>Oct</t>
  </si>
  <si>
    <t>Nov</t>
  </si>
  <si>
    <t>Dec</t>
  </si>
  <si>
    <t>Total Sales Reps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</si>
</sst>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2" defaultPivotStyle="PivotStyleLight16"/>
  <colors>
    <mruColors>
      <color rgb="FFEB7525"/>
      <color rgb="FFE56915"/>
      <color rgb="FFC85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microsoft.com/office/2011/relationships/timelineCache" Target="timelineCaches/timelineCache1.xml"/><Relationship Id="rId3" Type="http://schemas.openxmlformats.org/officeDocument/2006/relationships/pivotCacheDefinition" Target="pivotCache/pivotCacheDefinition1.xml"/><Relationship Id="rId21" Type="http://schemas.openxmlformats.org/officeDocument/2006/relationships/styles" Target="styles.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4.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10" Type="http://schemas.openxmlformats.org/officeDocument/2006/relationships/pivotCacheDefinition" Target="pivotCache/pivotCacheDefinition8.xml"/><Relationship Id="rId19" Type="http://schemas.openxmlformats.org/officeDocument/2006/relationships/theme" Target="theme/them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[Freelanceyard13.xlsx]Table1!Top 10 Sales Rep By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Sales Rep</a:t>
            </a:r>
            <a:r>
              <a:rPr lang="en-US" b="1" baseline="0"/>
              <a:t>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Table1!$B$36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Table1!$A$37:$A$44</c:f>
              <c:strCache>
                <c:ptCount val="7"/>
                <c:pt idx="0">
                  <c:v>Tiffany Davis</c:v>
                </c:pt>
                <c:pt idx="1">
                  <c:v>Christopher Jones</c:v>
                </c:pt>
                <c:pt idx="2">
                  <c:v>Michael Smith</c:v>
                </c:pt>
                <c:pt idx="3">
                  <c:v>Andrew Chavez</c:v>
                </c:pt>
                <c:pt idx="4">
                  <c:v>Chad Williams</c:v>
                </c:pt>
                <c:pt idx="5">
                  <c:v>Scott Brown</c:v>
                </c:pt>
                <c:pt idx="6">
                  <c:v>Susan Garcia</c:v>
                </c:pt>
              </c:strCache>
            </c:strRef>
          </c:cat>
          <c:val>
            <c:numRef>
              <c:f>Table1!$B$37:$B$44</c:f>
              <c:numCache>
                <c:formatCode>\$#,##0.00;\(\$#,##0.00\);\$#,##0.00</c:formatCode>
                <c:ptCount val="7"/>
                <c:pt idx="0">
                  <c:v>636</c:v>
                </c:pt>
                <c:pt idx="1">
                  <c:v>655.9</c:v>
                </c:pt>
                <c:pt idx="2">
                  <c:v>669.04</c:v>
                </c:pt>
                <c:pt idx="3">
                  <c:v>679.56</c:v>
                </c:pt>
                <c:pt idx="4">
                  <c:v>681.62</c:v>
                </c:pt>
                <c:pt idx="5">
                  <c:v>745.64</c:v>
                </c:pt>
                <c:pt idx="6">
                  <c:v>932.13</c:v>
                </c:pt>
              </c:numCache>
            </c:numRef>
          </c:val>
          <c:extLst>
            <c:ext xmlns:c16="http://schemas.microsoft.com/office/drawing/2014/chart" uri="{C3380CC4-5D6E-409C-BE32-E72D297353CC}">
              <c16:uniqueId val="{00000000-C64D-4B4B-903F-DC6176E3CF70}"/>
            </c:ext>
          </c:extLst>
        </c:ser>
        <c:dLbls>
          <c:dLblPos val="outEnd"/>
          <c:showLegendKey val="0"/>
          <c:showVal val="1"/>
          <c:showCatName val="0"/>
          <c:showSerName val="0"/>
          <c:showPercent val="0"/>
          <c:showBubbleSize val="0"/>
        </c:dLbls>
        <c:gapWidth val="182"/>
        <c:axId val="1083787600"/>
        <c:axId val="1083785632"/>
      </c:barChart>
      <c:catAx>
        <c:axId val="108378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3785632"/>
        <c:crosses val="autoZero"/>
        <c:auto val="1"/>
        <c:lblAlgn val="ctr"/>
        <c:lblOffset val="100"/>
        <c:noMultiLvlLbl val="0"/>
      </c:catAx>
      <c:valAx>
        <c:axId val="1083785632"/>
        <c:scaling>
          <c:orientation val="minMax"/>
        </c:scaling>
        <c:delete val="1"/>
        <c:axPos val="b"/>
        <c:numFmt formatCode="\$#,##0.00;\(\$#,##0.00\);\$#,##0.00" sourceLinked="1"/>
        <c:majorTickMark val="none"/>
        <c:minorTickMark val="none"/>
        <c:tickLblPos val="nextTo"/>
        <c:crossAx val="108378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Customer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Revenue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2">
              <a:lumMod val="75000"/>
            </a:schemeClr>
          </a:solidFill>
          <a:ln w="25400">
            <a:solidFill>
              <a:schemeClr val="lt1"/>
            </a:solidFill>
          </a:ln>
          <a:effectLst/>
          <a:sp3d contourW="25400">
            <a:contourClr>
              <a:schemeClr val="lt1"/>
            </a:contourClr>
          </a:sp3d>
        </c:spPr>
        <c:dLbl>
          <c:idx val="0"/>
          <c:layout>
            <c:manualLayout>
              <c:x val="-8.3114610673665787E-4"/>
              <c:y val="-0.227077865266841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3.1236220472440946E-2"/>
              <c:y val="-0.136579542140565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Table1!$B$92</c:f>
              <c:strCache>
                <c:ptCount val="1"/>
                <c:pt idx="0">
                  <c:v>Total</c:v>
                </c:pt>
              </c:strCache>
            </c:strRef>
          </c:tx>
          <c:dPt>
            <c:idx val="0"/>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2AA7-492C-A9CD-242E08744C1A}"/>
              </c:ext>
            </c:extLst>
          </c:dPt>
          <c:dPt>
            <c:idx val="1"/>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A7-492C-A9CD-242E08744C1A}"/>
              </c:ext>
            </c:extLst>
          </c:dPt>
          <c:dLbls>
            <c:dLbl>
              <c:idx val="0"/>
              <c:layout>
                <c:manualLayout>
                  <c:x val="-8.3114610673665787E-4"/>
                  <c:y val="-0.2270778652668416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2AA7-492C-A9CD-242E08744C1A}"/>
                </c:ext>
              </c:extLst>
            </c:dLbl>
            <c:dLbl>
              <c:idx val="1"/>
              <c:layout>
                <c:manualLayout>
                  <c:x val="3.1236220472440946E-2"/>
                  <c:y val="-0.1365795421405657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AA7-492C-A9CD-242E08744C1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Table1!$A$93:$A$95</c:f>
              <c:strCache>
                <c:ptCount val="2"/>
                <c:pt idx="0">
                  <c:v>New</c:v>
                </c:pt>
                <c:pt idx="1">
                  <c:v>Returning</c:v>
                </c:pt>
              </c:strCache>
            </c:strRef>
          </c:cat>
          <c:val>
            <c:numRef>
              <c:f>Table1!$B$93:$B$95</c:f>
              <c:numCache>
                <c:formatCode>\$#,##0.00;\(\$#,##0.00\);\$#,##0.00</c:formatCode>
                <c:ptCount val="2"/>
                <c:pt idx="0">
                  <c:v>258764.09</c:v>
                </c:pt>
                <c:pt idx="1">
                  <c:v>247074.69</c:v>
                </c:pt>
              </c:numCache>
            </c:numRef>
          </c:val>
          <c:extLst>
            <c:ext xmlns:c16="http://schemas.microsoft.com/office/drawing/2014/chart" uri="{C3380CC4-5D6E-409C-BE32-E72D297353CC}">
              <c16:uniqueId val="{00000000-2AA7-492C-A9CD-242E08744C1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Table1!$B$70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Table1!$A$71:$A$77</c:f>
              <c:strCache>
                <c:ptCount val="6"/>
                <c:pt idx="0">
                  <c:v>Email</c:v>
                </c:pt>
                <c:pt idx="1">
                  <c:v>Facebook</c:v>
                </c:pt>
                <c:pt idx="2">
                  <c:v>Walk-in</c:v>
                </c:pt>
                <c:pt idx="3">
                  <c:v>Google Ads</c:v>
                </c:pt>
                <c:pt idx="4">
                  <c:v>Instagram</c:v>
                </c:pt>
                <c:pt idx="5">
                  <c:v>Referral</c:v>
                </c:pt>
              </c:strCache>
            </c:strRef>
          </c:cat>
          <c:val>
            <c:numRef>
              <c:f>Table1!$B$71:$B$77</c:f>
              <c:numCache>
                <c:formatCode>\$#,##0.00;\(\$#,##0.00\);\$#,##0.00</c:formatCode>
                <c:ptCount val="6"/>
                <c:pt idx="0">
                  <c:v>90237.759999999995</c:v>
                </c:pt>
                <c:pt idx="1">
                  <c:v>85314.71</c:v>
                </c:pt>
                <c:pt idx="2">
                  <c:v>84353.88</c:v>
                </c:pt>
                <c:pt idx="3">
                  <c:v>83149.070000000007</c:v>
                </c:pt>
                <c:pt idx="4">
                  <c:v>81681.94</c:v>
                </c:pt>
                <c:pt idx="5">
                  <c:v>81101.42</c:v>
                </c:pt>
              </c:numCache>
            </c:numRef>
          </c:val>
          <c:extLst>
            <c:ext xmlns:c16="http://schemas.microsoft.com/office/drawing/2014/chart" uri="{C3380CC4-5D6E-409C-BE32-E72D297353CC}">
              <c16:uniqueId val="{00000000-DF3B-44E9-93DC-7F96F6D9027A}"/>
            </c:ext>
          </c:extLst>
        </c:ser>
        <c:dLbls>
          <c:dLblPos val="outEnd"/>
          <c:showLegendKey val="0"/>
          <c:showVal val="1"/>
          <c:showCatName val="0"/>
          <c:showSerName val="0"/>
          <c:showPercent val="0"/>
          <c:showBubbleSize val="0"/>
        </c:dLbls>
        <c:gapWidth val="219"/>
        <c:overlap val="-27"/>
        <c:axId val="1073315224"/>
        <c:axId val="1073315552"/>
      </c:barChart>
      <c:catAx>
        <c:axId val="107331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73315552"/>
        <c:crosses val="autoZero"/>
        <c:auto val="1"/>
        <c:lblAlgn val="ctr"/>
        <c:lblOffset val="100"/>
        <c:noMultiLvlLbl val="0"/>
      </c:catAx>
      <c:valAx>
        <c:axId val="1073315552"/>
        <c:scaling>
          <c:orientation val="minMax"/>
        </c:scaling>
        <c:delete val="1"/>
        <c:axPos val="l"/>
        <c:numFmt formatCode="\$#,##0.00;\(\$#,##0.00\);\$#,##0.00" sourceLinked="1"/>
        <c:majorTickMark val="none"/>
        <c:minorTickMark val="none"/>
        <c:tickLblPos val="nextTo"/>
        <c:crossAx val="1073315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Time of Day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t>Revenue By Time of Day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barChart>
        <c:barDir val="col"/>
        <c:grouping val="clustered"/>
        <c:varyColors val="0"/>
        <c:ser>
          <c:idx val="0"/>
          <c:order val="0"/>
          <c:tx>
            <c:strRef>
              <c:f>Table1!$B$111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Table1!$A$112:$A$116</c:f>
              <c:strCache>
                <c:ptCount val="4"/>
                <c:pt idx="0">
                  <c:v>Night</c:v>
                </c:pt>
                <c:pt idx="1">
                  <c:v>Morning</c:v>
                </c:pt>
                <c:pt idx="2">
                  <c:v>Evening</c:v>
                </c:pt>
                <c:pt idx="3">
                  <c:v>Afternoon</c:v>
                </c:pt>
              </c:strCache>
            </c:strRef>
          </c:cat>
          <c:val>
            <c:numRef>
              <c:f>Table1!$B$112:$B$116</c:f>
              <c:numCache>
                <c:formatCode>\$#,##0.00;\(\$#,##0.00\);\$#,##0.00</c:formatCode>
                <c:ptCount val="4"/>
                <c:pt idx="0">
                  <c:v>132390.09</c:v>
                </c:pt>
                <c:pt idx="1">
                  <c:v>125655.97</c:v>
                </c:pt>
                <c:pt idx="2">
                  <c:v>124922.26</c:v>
                </c:pt>
                <c:pt idx="3">
                  <c:v>122870.46</c:v>
                </c:pt>
              </c:numCache>
            </c:numRef>
          </c:val>
          <c:extLst>
            <c:ext xmlns:c16="http://schemas.microsoft.com/office/drawing/2014/chart" uri="{C3380CC4-5D6E-409C-BE32-E72D297353CC}">
              <c16:uniqueId val="{00000000-4111-4BA8-8B94-06BA309E7A1E}"/>
            </c:ext>
          </c:extLst>
        </c:ser>
        <c:dLbls>
          <c:dLblPos val="outEnd"/>
          <c:showLegendKey val="0"/>
          <c:showVal val="1"/>
          <c:showCatName val="0"/>
          <c:showSerName val="0"/>
          <c:showPercent val="0"/>
          <c:showBubbleSize val="0"/>
        </c:dLbls>
        <c:gapWidth val="219"/>
        <c:overlap val="-27"/>
        <c:axId val="1073314896"/>
        <c:axId val="1587330712"/>
      </c:barChart>
      <c:catAx>
        <c:axId val="10733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87330712"/>
        <c:crosses val="autoZero"/>
        <c:auto val="1"/>
        <c:lblAlgn val="ctr"/>
        <c:lblOffset val="100"/>
        <c:noMultiLvlLbl val="0"/>
      </c:catAx>
      <c:valAx>
        <c:axId val="1587330712"/>
        <c:scaling>
          <c:orientation val="minMax"/>
        </c:scaling>
        <c:delete val="1"/>
        <c:axPos val="l"/>
        <c:numFmt formatCode="\$#,##0.00;\(\$#,##0.00\);\$#,##0.00" sourceLinked="1"/>
        <c:majorTickMark val="none"/>
        <c:minorTickMark val="none"/>
        <c:tickLblPos val="nextTo"/>
        <c:crossAx val="107331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Date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Date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layout>
            <c:manualLayout>
              <c:x val="-5.9661016418293772E-2"/>
              <c:y val="0.1088309273840769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layout>
            <c:manualLayout>
              <c:x val="-5.7672154047569903E-2"/>
              <c:y val="0.1366087051618547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75000"/>
              </a:schemeClr>
            </a:solidFill>
            <a:round/>
          </a:ln>
          <a:effectLst/>
        </c:spPr>
        <c:marker>
          <c:symbol val="none"/>
        </c:marker>
        <c:dLbl>
          <c:idx val="0"/>
          <c:layout>
            <c:manualLayout>
              <c:x val="-4.7727842193950099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layout>
            <c:manualLayout>
              <c:x val="-5.7672154047569847E-2"/>
              <c:y val="0.1134605570137065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Table1!$B$229</c:f>
              <c:strCache>
                <c:ptCount val="1"/>
                <c:pt idx="0">
                  <c:v>Total</c:v>
                </c:pt>
              </c:strCache>
            </c:strRef>
          </c:tx>
          <c:spPr>
            <a:ln w="28575" cap="rnd">
              <a:solidFill>
                <a:schemeClr val="accent2">
                  <a:lumMod val="75000"/>
                </a:schemeClr>
              </a:solidFill>
              <a:round/>
            </a:ln>
            <a:effectLst/>
          </c:spPr>
          <c:marker>
            <c:symbol val="none"/>
          </c:marker>
          <c:dPt>
            <c:idx val="1"/>
            <c:marker>
              <c:symbol val="none"/>
            </c:marker>
            <c:bubble3D val="0"/>
            <c:extLst>
              <c:ext xmlns:c16="http://schemas.microsoft.com/office/drawing/2014/chart" uri="{C3380CC4-5D6E-409C-BE32-E72D297353CC}">
                <c16:uniqueId val="{00000005-FC32-4048-9E29-F65F1530BCCC}"/>
              </c:ext>
            </c:extLst>
          </c:dPt>
          <c:dPt>
            <c:idx val="3"/>
            <c:marker>
              <c:symbol val="none"/>
            </c:marker>
            <c:bubble3D val="0"/>
            <c:extLst>
              <c:ext xmlns:c16="http://schemas.microsoft.com/office/drawing/2014/chart" uri="{C3380CC4-5D6E-409C-BE32-E72D297353CC}">
                <c16:uniqueId val="{00000002-FC32-4048-9E29-F65F1530BCCC}"/>
              </c:ext>
            </c:extLst>
          </c:dPt>
          <c:dPt>
            <c:idx val="5"/>
            <c:marker>
              <c:symbol val="none"/>
            </c:marker>
            <c:bubble3D val="0"/>
            <c:extLst>
              <c:ext xmlns:c16="http://schemas.microsoft.com/office/drawing/2014/chart" uri="{C3380CC4-5D6E-409C-BE32-E72D297353CC}">
                <c16:uniqueId val="{00000003-FC32-4048-9E29-F65F1530BCCC}"/>
              </c:ext>
            </c:extLst>
          </c:dPt>
          <c:dPt>
            <c:idx val="8"/>
            <c:marker>
              <c:symbol val="none"/>
            </c:marker>
            <c:bubble3D val="0"/>
            <c:extLst>
              <c:ext xmlns:c16="http://schemas.microsoft.com/office/drawing/2014/chart" uri="{C3380CC4-5D6E-409C-BE32-E72D297353CC}">
                <c16:uniqueId val="{00000004-FC32-4048-9E29-F65F1530BCCC}"/>
              </c:ext>
            </c:extLst>
          </c:dPt>
          <c:dLbls>
            <c:dLbl>
              <c:idx val="1"/>
              <c:layout>
                <c:manualLayout>
                  <c:x val="-5.7672154047569847E-2"/>
                  <c:y val="0.113460557013706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32-4048-9E29-F65F1530BCCC}"/>
                </c:ext>
              </c:extLst>
            </c:dLbl>
            <c:dLbl>
              <c:idx val="3"/>
              <c:layout>
                <c:manualLayout>
                  <c:x val="-5.9661016418293772E-2"/>
                  <c:y val="0.108830927384076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32-4048-9E29-F65F1530BCCC}"/>
                </c:ext>
              </c:extLst>
            </c:dLbl>
            <c:dLbl>
              <c:idx val="5"/>
              <c:layout>
                <c:manualLayout>
                  <c:x val="-5.7672154047569903E-2"/>
                  <c:y val="0.136608705161854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32-4048-9E29-F65F1530BCCC}"/>
                </c:ext>
              </c:extLst>
            </c:dLbl>
            <c:dLbl>
              <c:idx val="8"/>
              <c:layout>
                <c:manualLayout>
                  <c:x val="-4.7727842193950099E-2"/>
                  <c:y val="0.113460557013706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32-4048-9E29-F65F1530BCC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Table1!$A$230:$A$242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Table1!$B$230:$B$242</c:f>
              <c:numCache>
                <c:formatCode>\$#,##0.00;\(\$#,##0.00\);\$#,##0.00</c:formatCode>
                <c:ptCount val="12"/>
                <c:pt idx="0">
                  <c:v>43123.69</c:v>
                </c:pt>
                <c:pt idx="1">
                  <c:v>40656.49</c:v>
                </c:pt>
                <c:pt idx="2">
                  <c:v>46685.54</c:v>
                </c:pt>
                <c:pt idx="3">
                  <c:v>38563.370000000003</c:v>
                </c:pt>
                <c:pt idx="4">
                  <c:v>39533.31</c:v>
                </c:pt>
                <c:pt idx="5">
                  <c:v>39684.910000000003</c:v>
                </c:pt>
                <c:pt idx="6">
                  <c:v>38321.879999999997</c:v>
                </c:pt>
                <c:pt idx="7">
                  <c:v>44465.38</c:v>
                </c:pt>
                <c:pt idx="8">
                  <c:v>43611.43</c:v>
                </c:pt>
                <c:pt idx="9">
                  <c:v>52158.66</c:v>
                </c:pt>
                <c:pt idx="10">
                  <c:v>43402</c:v>
                </c:pt>
                <c:pt idx="11">
                  <c:v>35632.120000000003</c:v>
                </c:pt>
              </c:numCache>
            </c:numRef>
          </c:val>
          <c:smooth val="0"/>
          <c:extLst>
            <c:ext xmlns:c16="http://schemas.microsoft.com/office/drawing/2014/chart" uri="{C3380CC4-5D6E-409C-BE32-E72D297353CC}">
              <c16:uniqueId val="{00000000-FC32-4048-9E29-F65F1530BCCC}"/>
            </c:ext>
          </c:extLst>
        </c:ser>
        <c:dLbls>
          <c:dLblPos val="t"/>
          <c:showLegendKey val="0"/>
          <c:showVal val="1"/>
          <c:showCatName val="0"/>
          <c:showSerName val="0"/>
          <c:showPercent val="0"/>
          <c:showBubbleSize val="0"/>
        </c:dLbls>
        <c:smooth val="0"/>
        <c:axId val="1585303048"/>
        <c:axId val="1585302392"/>
      </c:lineChart>
      <c:catAx>
        <c:axId val="1585303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85302392"/>
        <c:crosses val="autoZero"/>
        <c:auto val="1"/>
        <c:lblAlgn val="ctr"/>
        <c:lblOffset val="100"/>
        <c:noMultiLvlLbl val="0"/>
      </c:catAx>
      <c:valAx>
        <c:axId val="1585302392"/>
        <c:scaling>
          <c:orientation val="minMax"/>
        </c:scaling>
        <c:delete val="1"/>
        <c:axPos val="l"/>
        <c:numFmt formatCode="\$#,##0.00;\(\$#,##0.00\);\$#,##0.00" sourceLinked="1"/>
        <c:majorTickMark val="none"/>
        <c:minorTickMark val="none"/>
        <c:tickLblPos val="nextTo"/>
        <c:crossAx val="1585303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[Freelanceyard13.xlsx]Table1!Top 10 Sales Rep By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 </a:t>
            </a:r>
            <a:r>
              <a:rPr lang="ar-EG" sz="1800" b="1"/>
              <a:t>7</a:t>
            </a:r>
            <a:r>
              <a:rPr lang="en-US" sz="1800" b="1"/>
              <a:t> Sales Rep</a:t>
            </a:r>
            <a:r>
              <a:rPr lang="en-US" sz="1800" b="1" baseline="0"/>
              <a:t> By Sales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Table1!$B$36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Table1!$A$37:$A$44</c:f>
              <c:strCache>
                <c:ptCount val="7"/>
                <c:pt idx="0">
                  <c:v>Tiffany Davis</c:v>
                </c:pt>
                <c:pt idx="1">
                  <c:v>Christopher Jones</c:v>
                </c:pt>
                <c:pt idx="2">
                  <c:v>Michael Smith</c:v>
                </c:pt>
                <c:pt idx="3">
                  <c:v>Andrew Chavez</c:v>
                </c:pt>
                <c:pt idx="4">
                  <c:v>Chad Williams</c:v>
                </c:pt>
                <c:pt idx="5">
                  <c:v>Scott Brown</c:v>
                </c:pt>
                <c:pt idx="6">
                  <c:v>Susan Garcia</c:v>
                </c:pt>
              </c:strCache>
            </c:strRef>
          </c:cat>
          <c:val>
            <c:numRef>
              <c:f>Table1!$B$37:$B$44</c:f>
              <c:numCache>
                <c:formatCode>\$#,##0.00;\(\$#,##0.00\);\$#,##0.00</c:formatCode>
                <c:ptCount val="7"/>
                <c:pt idx="0">
                  <c:v>636</c:v>
                </c:pt>
                <c:pt idx="1">
                  <c:v>655.9</c:v>
                </c:pt>
                <c:pt idx="2">
                  <c:v>669.04</c:v>
                </c:pt>
                <c:pt idx="3">
                  <c:v>679.56</c:v>
                </c:pt>
                <c:pt idx="4">
                  <c:v>681.62</c:v>
                </c:pt>
                <c:pt idx="5">
                  <c:v>745.64</c:v>
                </c:pt>
                <c:pt idx="6">
                  <c:v>932.13</c:v>
                </c:pt>
              </c:numCache>
            </c:numRef>
          </c:val>
          <c:extLst>
            <c:ext xmlns:c16="http://schemas.microsoft.com/office/drawing/2014/chart" uri="{C3380CC4-5D6E-409C-BE32-E72D297353CC}">
              <c16:uniqueId val="{00000000-334A-4816-90A2-8CBC655B1F0C}"/>
            </c:ext>
          </c:extLst>
        </c:ser>
        <c:dLbls>
          <c:dLblPos val="outEnd"/>
          <c:showLegendKey val="0"/>
          <c:showVal val="1"/>
          <c:showCatName val="0"/>
          <c:showSerName val="0"/>
          <c:showPercent val="0"/>
          <c:showBubbleSize val="0"/>
        </c:dLbls>
        <c:gapWidth val="182"/>
        <c:axId val="1083787600"/>
        <c:axId val="1083785632"/>
      </c:barChart>
      <c:catAx>
        <c:axId val="108378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83785632"/>
        <c:crosses val="autoZero"/>
        <c:auto val="1"/>
        <c:lblAlgn val="ctr"/>
        <c:lblOffset val="100"/>
        <c:noMultiLvlLbl val="0"/>
      </c:catAx>
      <c:valAx>
        <c:axId val="1083785632"/>
        <c:scaling>
          <c:orientation val="minMax"/>
        </c:scaling>
        <c:delete val="1"/>
        <c:axPos val="b"/>
        <c:numFmt formatCode="\$#,##0.00;\(\$#,##0.00\);\$#,##0.00" sourceLinked="1"/>
        <c:majorTickMark val="none"/>
        <c:minorTickMark val="none"/>
        <c:tickLblPos val="nextTo"/>
        <c:crossAx val="108378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Customer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Revenue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2">
              <a:lumMod val="75000"/>
            </a:schemeClr>
          </a:solidFill>
          <a:ln w="25400">
            <a:solidFill>
              <a:schemeClr val="lt1"/>
            </a:solidFill>
          </a:ln>
          <a:effectLst/>
          <a:sp3d contourW="25400">
            <a:contourClr>
              <a:schemeClr val="lt1"/>
            </a:contourClr>
          </a:sp3d>
        </c:spPr>
        <c:dLbl>
          <c:idx val="0"/>
          <c:layout>
            <c:manualLayout>
              <c:x val="-8.3114610673665787E-4"/>
              <c:y val="-0.227077865266841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3.1236220472440946E-2"/>
              <c:y val="-0.136579542140565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2">
              <a:lumMod val="75000"/>
            </a:schemeClr>
          </a:solidFill>
          <a:ln w="25400">
            <a:solidFill>
              <a:schemeClr val="lt1"/>
            </a:solidFill>
          </a:ln>
          <a:effectLst/>
          <a:sp3d contourW="25400">
            <a:contourClr>
              <a:schemeClr val="lt1"/>
            </a:contourClr>
          </a:sp3d>
        </c:spPr>
        <c:dLbl>
          <c:idx val="0"/>
          <c:layout>
            <c:manualLayout>
              <c:x val="-8.3114610673665787E-4"/>
              <c:y val="-0.227077865266841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3.1236220472440946E-2"/>
              <c:y val="-0.136579542140565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2">
              <a:lumMod val="75000"/>
            </a:schemeClr>
          </a:solidFill>
          <a:ln w="25400">
            <a:solidFill>
              <a:schemeClr val="lt1"/>
            </a:solidFill>
          </a:ln>
          <a:effectLst/>
          <a:sp3d contourW="25400">
            <a:contourClr>
              <a:schemeClr val="lt1"/>
            </a:contourClr>
          </a:sp3d>
        </c:spPr>
        <c:dLbl>
          <c:idx val="0"/>
          <c:layout>
            <c:manualLayout>
              <c:x val="-8.3114610673665787E-4"/>
              <c:y val="-0.2270778652668416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3.1236220472440946E-2"/>
              <c:y val="-0.1365795421405657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Table1!$B$92</c:f>
              <c:strCache>
                <c:ptCount val="1"/>
                <c:pt idx="0">
                  <c:v>Total</c:v>
                </c:pt>
              </c:strCache>
            </c:strRef>
          </c:tx>
          <c:dPt>
            <c:idx val="0"/>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61-49F6-A9E7-B61D8CF5B79F}"/>
              </c:ext>
            </c:extLst>
          </c:dPt>
          <c:dPt>
            <c:idx val="1"/>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61-49F6-A9E7-B61D8CF5B79F}"/>
              </c:ext>
            </c:extLst>
          </c:dPt>
          <c:dLbls>
            <c:dLbl>
              <c:idx val="0"/>
              <c:layout>
                <c:manualLayout>
                  <c:x val="-8.3114610673665787E-4"/>
                  <c:y val="-0.2270778652668416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161-49F6-A9E7-B61D8CF5B79F}"/>
                </c:ext>
              </c:extLst>
            </c:dLbl>
            <c:dLbl>
              <c:idx val="1"/>
              <c:layout>
                <c:manualLayout>
                  <c:x val="3.1236220472440946E-2"/>
                  <c:y val="-0.1365795421405657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161-49F6-A9E7-B61D8CF5B79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Table1!$A$93:$A$95</c:f>
              <c:strCache>
                <c:ptCount val="2"/>
                <c:pt idx="0">
                  <c:v>New</c:v>
                </c:pt>
                <c:pt idx="1">
                  <c:v>Returning</c:v>
                </c:pt>
              </c:strCache>
            </c:strRef>
          </c:cat>
          <c:val>
            <c:numRef>
              <c:f>Table1!$B$93:$B$95</c:f>
              <c:numCache>
                <c:formatCode>\$#,##0.00;\(\$#,##0.00\);\$#,##0.00</c:formatCode>
                <c:ptCount val="2"/>
                <c:pt idx="0">
                  <c:v>258764.09</c:v>
                </c:pt>
                <c:pt idx="1">
                  <c:v>247074.69</c:v>
                </c:pt>
              </c:numCache>
            </c:numRef>
          </c:val>
          <c:extLst>
            <c:ext xmlns:c16="http://schemas.microsoft.com/office/drawing/2014/chart" uri="{C3380CC4-5D6E-409C-BE32-E72D297353CC}">
              <c16:uniqueId val="{00000004-1161-49F6-A9E7-B61D8CF5B79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Table1!$B$70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Table1!$A$71:$A$77</c:f>
              <c:strCache>
                <c:ptCount val="6"/>
                <c:pt idx="0">
                  <c:v>Email</c:v>
                </c:pt>
                <c:pt idx="1">
                  <c:v>Facebook</c:v>
                </c:pt>
                <c:pt idx="2">
                  <c:v>Walk-in</c:v>
                </c:pt>
                <c:pt idx="3">
                  <c:v>Google Ads</c:v>
                </c:pt>
                <c:pt idx="4">
                  <c:v>Instagram</c:v>
                </c:pt>
                <c:pt idx="5">
                  <c:v>Referral</c:v>
                </c:pt>
              </c:strCache>
            </c:strRef>
          </c:cat>
          <c:val>
            <c:numRef>
              <c:f>Table1!$B$71:$B$77</c:f>
              <c:numCache>
                <c:formatCode>\$#,##0.00;\(\$#,##0.00\);\$#,##0.00</c:formatCode>
                <c:ptCount val="6"/>
                <c:pt idx="0">
                  <c:v>90237.759999999995</c:v>
                </c:pt>
                <c:pt idx="1">
                  <c:v>85314.71</c:v>
                </c:pt>
                <c:pt idx="2">
                  <c:v>84353.88</c:v>
                </c:pt>
                <c:pt idx="3">
                  <c:v>83149.070000000007</c:v>
                </c:pt>
                <c:pt idx="4">
                  <c:v>81681.94</c:v>
                </c:pt>
                <c:pt idx="5">
                  <c:v>81101.42</c:v>
                </c:pt>
              </c:numCache>
            </c:numRef>
          </c:val>
          <c:extLst>
            <c:ext xmlns:c16="http://schemas.microsoft.com/office/drawing/2014/chart" uri="{C3380CC4-5D6E-409C-BE32-E72D297353CC}">
              <c16:uniqueId val="{00000000-C7EC-4DB1-9B41-37D93C40A1DD}"/>
            </c:ext>
          </c:extLst>
        </c:ser>
        <c:dLbls>
          <c:dLblPos val="outEnd"/>
          <c:showLegendKey val="0"/>
          <c:showVal val="1"/>
          <c:showCatName val="0"/>
          <c:showSerName val="0"/>
          <c:showPercent val="0"/>
          <c:showBubbleSize val="0"/>
        </c:dLbls>
        <c:gapWidth val="219"/>
        <c:overlap val="-27"/>
        <c:axId val="1073315224"/>
        <c:axId val="1073315552"/>
      </c:barChart>
      <c:catAx>
        <c:axId val="107331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073315552"/>
        <c:crosses val="autoZero"/>
        <c:auto val="1"/>
        <c:lblAlgn val="ctr"/>
        <c:lblOffset val="100"/>
        <c:noMultiLvlLbl val="0"/>
      </c:catAx>
      <c:valAx>
        <c:axId val="1073315552"/>
        <c:scaling>
          <c:orientation val="minMax"/>
        </c:scaling>
        <c:delete val="1"/>
        <c:axPos val="l"/>
        <c:numFmt formatCode="\$#,##0.00;\(\$#,##0.00\);\$#,##0.00" sourceLinked="1"/>
        <c:majorTickMark val="none"/>
        <c:minorTickMark val="none"/>
        <c:tickLblPos val="nextTo"/>
        <c:crossAx val="1073315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Time of Day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t>Revenue By Time of Day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Table1!$B$111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Table1!$A$112:$A$116</c:f>
              <c:strCache>
                <c:ptCount val="4"/>
                <c:pt idx="0">
                  <c:v>Night</c:v>
                </c:pt>
                <c:pt idx="1">
                  <c:v>Morning</c:v>
                </c:pt>
                <c:pt idx="2">
                  <c:v>Evening</c:v>
                </c:pt>
                <c:pt idx="3">
                  <c:v>Afternoon</c:v>
                </c:pt>
              </c:strCache>
            </c:strRef>
          </c:cat>
          <c:val>
            <c:numRef>
              <c:f>Table1!$B$112:$B$116</c:f>
              <c:numCache>
                <c:formatCode>\$#,##0.00;\(\$#,##0.00\);\$#,##0.00</c:formatCode>
                <c:ptCount val="4"/>
                <c:pt idx="0">
                  <c:v>132390.09</c:v>
                </c:pt>
                <c:pt idx="1">
                  <c:v>125655.97</c:v>
                </c:pt>
                <c:pt idx="2">
                  <c:v>124922.26</c:v>
                </c:pt>
                <c:pt idx="3">
                  <c:v>122870.46</c:v>
                </c:pt>
              </c:numCache>
            </c:numRef>
          </c:val>
          <c:extLst>
            <c:ext xmlns:c16="http://schemas.microsoft.com/office/drawing/2014/chart" uri="{C3380CC4-5D6E-409C-BE32-E72D297353CC}">
              <c16:uniqueId val="{00000000-1B16-4B34-ADBF-91255F425873}"/>
            </c:ext>
          </c:extLst>
        </c:ser>
        <c:dLbls>
          <c:dLblPos val="outEnd"/>
          <c:showLegendKey val="0"/>
          <c:showVal val="1"/>
          <c:showCatName val="0"/>
          <c:showSerName val="0"/>
          <c:showPercent val="0"/>
          <c:showBubbleSize val="0"/>
        </c:dLbls>
        <c:gapWidth val="219"/>
        <c:overlap val="-27"/>
        <c:axId val="1073314896"/>
        <c:axId val="1587330712"/>
      </c:barChart>
      <c:catAx>
        <c:axId val="10733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87330712"/>
        <c:crosses val="autoZero"/>
        <c:auto val="1"/>
        <c:lblAlgn val="ctr"/>
        <c:lblOffset val="100"/>
        <c:noMultiLvlLbl val="0"/>
      </c:catAx>
      <c:valAx>
        <c:axId val="1587330712"/>
        <c:scaling>
          <c:orientation val="minMax"/>
        </c:scaling>
        <c:delete val="1"/>
        <c:axPos val="l"/>
        <c:numFmt formatCode="\$#,##0.00;\(\$#,##0.00\);\$#,##0.00" sourceLinked="1"/>
        <c:majorTickMark val="none"/>
        <c:minorTickMark val="none"/>
        <c:tickLblPos val="nextTo"/>
        <c:crossAx val="107331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Date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Date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layout>
            <c:manualLayout>
              <c:x val="-5.9661016418293772E-2"/>
              <c:y val="0.1088309273840769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layout>
            <c:manualLayout>
              <c:x val="-5.7672154047569903E-2"/>
              <c:y val="0.1366087051618547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layout>
            <c:manualLayout>
              <c:x val="-4.7727842193950099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dLbl>
          <c:idx val="0"/>
          <c:layout>
            <c:manualLayout>
              <c:x val="-5.7672154047569847E-2"/>
              <c:y val="0.1134605570137065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layout>
            <c:manualLayout>
              <c:x val="-5.7672154047569847E-2"/>
              <c:y val="0.1134605570137065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75000"/>
              </a:schemeClr>
            </a:solidFill>
            <a:round/>
          </a:ln>
          <a:effectLst/>
        </c:spPr>
        <c:marker>
          <c:symbol val="none"/>
        </c:marker>
        <c:dLbl>
          <c:idx val="0"/>
          <c:layout>
            <c:manualLayout>
              <c:x val="-5.9661016418293772E-2"/>
              <c:y val="0.1088309273840769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lumMod val="75000"/>
              </a:schemeClr>
            </a:solidFill>
            <a:round/>
          </a:ln>
          <a:effectLst/>
        </c:spPr>
        <c:marker>
          <c:symbol val="none"/>
        </c:marker>
        <c:dLbl>
          <c:idx val="0"/>
          <c:layout>
            <c:manualLayout>
              <c:x val="-5.7672154047569903E-2"/>
              <c:y val="0.1366087051618547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75000"/>
              </a:schemeClr>
            </a:solidFill>
            <a:round/>
          </a:ln>
          <a:effectLst/>
        </c:spPr>
        <c:marker>
          <c:symbol val="none"/>
        </c:marker>
        <c:dLbl>
          <c:idx val="0"/>
          <c:layout>
            <c:manualLayout>
              <c:x val="-4.7727842193950099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75000"/>
              </a:schemeClr>
            </a:solidFill>
            <a:round/>
          </a:ln>
          <a:effectLst/>
        </c:spPr>
        <c:marker>
          <c:symbol val="none"/>
        </c:marker>
        <c:dLbl>
          <c:idx val="0"/>
          <c:layout>
            <c:manualLayout>
              <c:x val="-5.7672154047569847E-2"/>
              <c:y val="0.1134605570137065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lumMod val="75000"/>
              </a:schemeClr>
            </a:solidFill>
            <a:round/>
          </a:ln>
          <a:effectLst/>
        </c:spPr>
        <c:marker>
          <c:symbol val="none"/>
        </c:marker>
        <c:dLbl>
          <c:idx val="0"/>
          <c:layout>
            <c:manualLayout>
              <c:x val="-5.9661016418293772E-2"/>
              <c:y val="0.1088309273840769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75000"/>
              </a:schemeClr>
            </a:solidFill>
            <a:round/>
          </a:ln>
          <a:effectLst/>
        </c:spPr>
        <c:marker>
          <c:symbol val="none"/>
        </c:marker>
        <c:dLbl>
          <c:idx val="0"/>
          <c:layout>
            <c:manualLayout>
              <c:x val="-5.7672154047569903E-2"/>
              <c:y val="0.1366087051618547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lumMod val="75000"/>
              </a:schemeClr>
            </a:solidFill>
            <a:round/>
          </a:ln>
          <a:effectLst/>
        </c:spPr>
        <c:marker>
          <c:symbol val="none"/>
        </c:marker>
        <c:dLbl>
          <c:idx val="0"/>
          <c:layout>
            <c:manualLayout>
              <c:x val="-4.7727842193950099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Table1!$B$229</c:f>
              <c:strCache>
                <c:ptCount val="1"/>
                <c:pt idx="0">
                  <c:v>Total</c:v>
                </c:pt>
              </c:strCache>
            </c:strRef>
          </c:tx>
          <c:spPr>
            <a:ln w="28575" cap="rnd">
              <a:solidFill>
                <a:schemeClr val="accent2">
                  <a:lumMod val="75000"/>
                </a:schemeClr>
              </a:solidFill>
              <a:round/>
            </a:ln>
            <a:effectLst/>
          </c:spPr>
          <c:marker>
            <c:symbol val="none"/>
          </c:marker>
          <c:dPt>
            <c:idx val="1"/>
            <c:marker>
              <c:symbol val="none"/>
            </c:marker>
            <c:bubble3D val="0"/>
            <c:extLst>
              <c:ext xmlns:c16="http://schemas.microsoft.com/office/drawing/2014/chart" uri="{C3380CC4-5D6E-409C-BE32-E72D297353CC}">
                <c16:uniqueId val="{00000000-3B6C-4F8C-B3E2-11EFA9A6041B}"/>
              </c:ext>
            </c:extLst>
          </c:dPt>
          <c:dPt>
            <c:idx val="3"/>
            <c:marker>
              <c:symbol val="none"/>
            </c:marker>
            <c:bubble3D val="0"/>
            <c:extLst>
              <c:ext xmlns:c16="http://schemas.microsoft.com/office/drawing/2014/chart" uri="{C3380CC4-5D6E-409C-BE32-E72D297353CC}">
                <c16:uniqueId val="{00000001-3B6C-4F8C-B3E2-11EFA9A6041B}"/>
              </c:ext>
            </c:extLst>
          </c:dPt>
          <c:dPt>
            <c:idx val="5"/>
            <c:marker>
              <c:symbol val="none"/>
            </c:marker>
            <c:bubble3D val="0"/>
            <c:extLst>
              <c:ext xmlns:c16="http://schemas.microsoft.com/office/drawing/2014/chart" uri="{C3380CC4-5D6E-409C-BE32-E72D297353CC}">
                <c16:uniqueId val="{00000002-3B6C-4F8C-B3E2-11EFA9A6041B}"/>
              </c:ext>
            </c:extLst>
          </c:dPt>
          <c:dPt>
            <c:idx val="8"/>
            <c:marker>
              <c:symbol val="none"/>
            </c:marker>
            <c:bubble3D val="0"/>
            <c:extLst>
              <c:ext xmlns:c16="http://schemas.microsoft.com/office/drawing/2014/chart" uri="{C3380CC4-5D6E-409C-BE32-E72D297353CC}">
                <c16:uniqueId val="{00000003-3B6C-4F8C-B3E2-11EFA9A6041B}"/>
              </c:ext>
            </c:extLst>
          </c:dPt>
          <c:dLbls>
            <c:dLbl>
              <c:idx val="1"/>
              <c:layout>
                <c:manualLayout>
                  <c:x val="-5.7672154047569847E-2"/>
                  <c:y val="0.113460557013706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6C-4F8C-B3E2-11EFA9A6041B}"/>
                </c:ext>
              </c:extLst>
            </c:dLbl>
            <c:dLbl>
              <c:idx val="3"/>
              <c:layout>
                <c:manualLayout>
                  <c:x val="-5.9661016418293772E-2"/>
                  <c:y val="0.108830927384076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6C-4F8C-B3E2-11EFA9A6041B}"/>
                </c:ext>
              </c:extLst>
            </c:dLbl>
            <c:dLbl>
              <c:idx val="5"/>
              <c:layout>
                <c:manualLayout>
                  <c:x val="-5.7672154047569903E-2"/>
                  <c:y val="0.136608705161854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6C-4F8C-B3E2-11EFA9A6041B}"/>
                </c:ext>
              </c:extLst>
            </c:dLbl>
            <c:dLbl>
              <c:idx val="8"/>
              <c:layout>
                <c:manualLayout>
                  <c:x val="-4.7727842193950099E-2"/>
                  <c:y val="0.113460557013706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6C-4F8C-B3E2-11EFA9A6041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Table1!$A$230:$A$242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Table1!$B$230:$B$242</c:f>
              <c:numCache>
                <c:formatCode>\$#,##0.00;\(\$#,##0.00\);\$#,##0.00</c:formatCode>
                <c:ptCount val="12"/>
                <c:pt idx="0">
                  <c:v>43123.69</c:v>
                </c:pt>
                <c:pt idx="1">
                  <c:v>40656.49</c:v>
                </c:pt>
                <c:pt idx="2">
                  <c:v>46685.54</c:v>
                </c:pt>
                <c:pt idx="3">
                  <c:v>38563.370000000003</c:v>
                </c:pt>
                <c:pt idx="4">
                  <c:v>39533.31</c:v>
                </c:pt>
                <c:pt idx="5">
                  <c:v>39684.910000000003</c:v>
                </c:pt>
                <c:pt idx="6">
                  <c:v>38321.879999999997</c:v>
                </c:pt>
                <c:pt idx="7">
                  <c:v>44465.38</c:v>
                </c:pt>
                <c:pt idx="8">
                  <c:v>43611.43</c:v>
                </c:pt>
                <c:pt idx="9">
                  <c:v>52158.66</c:v>
                </c:pt>
                <c:pt idx="10">
                  <c:v>43402</c:v>
                </c:pt>
                <c:pt idx="11">
                  <c:v>35632.120000000003</c:v>
                </c:pt>
              </c:numCache>
            </c:numRef>
          </c:val>
          <c:smooth val="0"/>
          <c:extLst>
            <c:ext xmlns:c16="http://schemas.microsoft.com/office/drawing/2014/chart" uri="{C3380CC4-5D6E-409C-BE32-E72D297353CC}">
              <c16:uniqueId val="{00000004-3B6C-4F8C-B3E2-11EFA9A6041B}"/>
            </c:ext>
          </c:extLst>
        </c:ser>
        <c:dLbls>
          <c:dLblPos val="t"/>
          <c:showLegendKey val="0"/>
          <c:showVal val="1"/>
          <c:showCatName val="0"/>
          <c:showSerName val="0"/>
          <c:showPercent val="0"/>
          <c:showBubbleSize val="0"/>
        </c:dLbls>
        <c:smooth val="0"/>
        <c:axId val="1585303048"/>
        <c:axId val="1585302392"/>
      </c:lineChart>
      <c:catAx>
        <c:axId val="1585303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85302392"/>
        <c:crosses val="autoZero"/>
        <c:auto val="1"/>
        <c:lblAlgn val="ctr"/>
        <c:lblOffset val="100"/>
        <c:noMultiLvlLbl val="0"/>
      </c:catAx>
      <c:valAx>
        <c:axId val="1585302392"/>
        <c:scaling>
          <c:orientation val="minMax"/>
        </c:scaling>
        <c:delete val="1"/>
        <c:axPos val="l"/>
        <c:numFmt formatCode="\$#,##0.00;\(\$#,##0.00\);\$#,##0.00" sourceLinked="1"/>
        <c:majorTickMark val="none"/>
        <c:minorTickMark val="none"/>
        <c:tickLblPos val="nextTo"/>
        <c:crossAx val="1585303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[Freelanceyard13.xlsx]Table1!Revenue By Time of Day </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t>Revenue By Time of Day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Table1!$B$111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Table1!$A$112:$A$116</c:f>
              <c:strCache>
                <c:ptCount val="4"/>
                <c:pt idx="0">
                  <c:v>Night</c:v>
                </c:pt>
                <c:pt idx="1">
                  <c:v>Morning</c:v>
                </c:pt>
                <c:pt idx="2">
                  <c:v>Evening</c:v>
                </c:pt>
                <c:pt idx="3">
                  <c:v>Afternoon</c:v>
                </c:pt>
              </c:strCache>
            </c:strRef>
          </c:cat>
          <c:val>
            <c:numRef>
              <c:f>Table1!$B$112:$B$116</c:f>
              <c:numCache>
                <c:formatCode>\$#,##0.00;\(\$#,##0.00\);\$#,##0.00</c:formatCode>
                <c:ptCount val="4"/>
                <c:pt idx="0">
                  <c:v>132390.09</c:v>
                </c:pt>
                <c:pt idx="1">
                  <c:v>125655.97</c:v>
                </c:pt>
                <c:pt idx="2">
                  <c:v>124922.26</c:v>
                </c:pt>
                <c:pt idx="3">
                  <c:v>122870.46</c:v>
                </c:pt>
              </c:numCache>
            </c:numRef>
          </c:val>
          <c:extLst>
            <c:ext xmlns:c16="http://schemas.microsoft.com/office/drawing/2014/chart" uri="{C3380CC4-5D6E-409C-BE32-E72D297353CC}">
              <c16:uniqueId val="{00000000-2254-4295-9616-E41115C3D99D}"/>
            </c:ext>
          </c:extLst>
        </c:ser>
        <c:dLbls>
          <c:dLblPos val="outEnd"/>
          <c:showLegendKey val="0"/>
          <c:showVal val="1"/>
          <c:showCatName val="0"/>
          <c:showSerName val="0"/>
          <c:showPercent val="0"/>
          <c:showBubbleSize val="0"/>
        </c:dLbls>
        <c:gapWidth val="219"/>
        <c:overlap val="-27"/>
        <c:axId val="1073314896"/>
        <c:axId val="1587330712"/>
      </c:barChart>
      <c:catAx>
        <c:axId val="10733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87330712"/>
        <c:crosses val="autoZero"/>
        <c:auto val="1"/>
        <c:lblAlgn val="ctr"/>
        <c:lblOffset val="100"/>
        <c:noMultiLvlLbl val="0"/>
      </c:catAx>
      <c:valAx>
        <c:axId val="1587330712"/>
        <c:scaling>
          <c:orientation val="minMax"/>
        </c:scaling>
        <c:delete val="1"/>
        <c:axPos val="l"/>
        <c:numFmt formatCode="\$#,##0.00;\(\$#,##0.00\);\$#,##0.00" sourceLinked="1"/>
        <c:majorTickMark val="none"/>
        <c:minorTickMark val="none"/>
        <c:tickLblPos val="nextTo"/>
        <c:crossAx val="107331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586740</xdr:colOff>
      <xdr:row>34</xdr:row>
      <xdr:rowOff>140970</xdr:rowOff>
    </xdr:from>
    <xdr:to>
      <xdr:col>10</xdr:col>
      <xdr:colOff>472440</xdr:colOff>
      <xdr:row>49</xdr:row>
      <xdr:rowOff>140970</xdr:rowOff>
    </xdr:to>
    <xdr:graphicFrame macro="">
      <xdr:nvGraphicFramePr>
        <xdr:cNvPr id="2" name="Chart 1">
          <a:extLst>
            <a:ext uri="{FF2B5EF4-FFF2-40B4-BE49-F238E27FC236}">
              <a16:creationId xmlns:a16="http://schemas.microsoft.com/office/drawing/2014/main" id="{27E53E07-7F21-491D-A3F3-2771AA896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86</xdr:row>
      <xdr:rowOff>156210</xdr:rowOff>
    </xdr:from>
    <xdr:to>
      <xdr:col>11</xdr:col>
      <xdr:colOff>594360</xdr:colOff>
      <xdr:row>101</xdr:row>
      <xdr:rowOff>156210</xdr:rowOff>
    </xdr:to>
    <xdr:graphicFrame macro="">
      <xdr:nvGraphicFramePr>
        <xdr:cNvPr id="3" name="Chart 2">
          <a:extLst>
            <a:ext uri="{FF2B5EF4-FFF2-40B4-BE49-F238E27FC236}">
              <a16:creationId xmlns:a16="http://schemas.microsoft.com/office/drawing/2014/main" id="{E2FD30A3-1F3F-4915-857E-1FA79F83B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274320</xdr:colOff>
      <xdr:row>68</xdr:row>
      <xdr:rowOff>34290</xdr:rowOff>
    </xdr:from>
    <xdr:to>
      <xdr:col>13</xdr:col>
      <xdr:colOff>22860</xdr:colOff>
      <xdr:row>83</xdr:row>
      <xdr:rowOff>34290</xdr:rowOff>
    </xdr:to>
    <xdr:graphicFrame macro="">
      <xdr:nvGraphicFramePr>
        <xdr:cNvPr id="4" name="Chart 3">
          <a:extLst>
            <a:ext uri="{FF2B5EF4-FFF2-40B4-BE49-F238E27FC236}">
              <a16:creationId xmlns:a16="http://schemas.microsoft.com/office/drawing/2014/main" id="{1A75956D-49B2-43E9-8E4C-0C4DA2AEC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114300</xdr:colOff>
      <xdr:row>102</xdr:row>
      <xdr:rowOff>125730</xdr:rowOff>
    </xdr:from>
    <xdr:to>
      <xdr:col>11</xdr:col>
      <xdr:colOff>579120</xdr:colOff>
      <xdr:row>117</xdr:row>
      <xdr:rowOff>125730</xdr:rowOff>
    </xdr:to>
    <xdr:graphicFrame macro="">
      <xdr:nvGraphicFramePr>
        <xdr:cNvPr id="5" name="Chart 4">
          <a:extLst>
            <a:ext uri="{FF2B5EF4-FFF2-40B4-BE49-F238E27FC236}">
              <a16:creationId xmlns:a16="http://schemas.microsoft.com/office/drawing/2014/main" id="{77FEA68A-51F3-4C96-AA80-A8C771E16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457200</xdr:colOff>
      <xdr:row>224</xdr:row>
      <xdr:rowOff>72390</xdr:rowOff>
    </xdr:from>
    <xdr:to>
      <xdr:col>13</xdr:col>
      <xdr:colOff>640080</xdr:colOff>
      <xdr:row>239</xdr:row>
      <xdr:rowOff>72390</xdr:rowOff>
    </xdr:to>
    <xdr:graphicFrame macro="">
      <xdr:nvGraphicFramePr>
        <xdr:cNvPr id="6" name="Chart 5">
          <a:extLst>
            <a:ext uri="{FF2B5EF4-FFF2-40B4-BE49-F238E27FC236}">
              <a16:creationId xmlns:a16="http://schemas.microsoft.com/office/drawing/2014/main" id="{2A7B71A5-CF2F-4AF3-98CF-07E777D96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99060</xdr:colOff>
      <xdr:row>216</xdr:row>
      <xdr:rowOff>60960</xdr:rowOff>
    </xdr:from>
    <xdr:to>
      <xdr:col>7</xdr:col>
      <xdr:colOff>274320</xdr:colOff>
      <xdr:row>223</xdr:row>
      <xdr:rowOff>152400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93E9803E-235F-4033-9CFB-3E72F217CFC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750820" y="395630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678180</xdr:colOff>
      <xdr:row>95</xdr:row>
      <xdr:rowOff>91440</xdr:rowOff>
    </xdr:from>
    <xdr:to>
      <xdr:col>5</xdr:col>
      <xdr:colOff>121920</xdr:colOff>
      <xdr:row>106</xdr:row>
      <xdr:rowOff>91440</xdr:rowOff>
    </xdr:to>
    <mc:AlternateContent xmlns:mc="http://schemas.openxmlformats.org/markup-compatibility/2006" xmlns:a14="http://schemas.microsoft.com/office/drawing/2010/main">
      <mc:Choice Requires="a14">
        <xdr:graphicFrame macro="">
          <xdr:nvGraphicFramePr>
            <xdr:cNvPr id="9" name="Date (Month)">
              <a:extLst>
                <a:ext uri="{FF2B5EF4-FFF2-40B4-BE49-F238E27FC236}">
                  <a16:creationId xmlns:a16="http://schemas.microsoft.com/office/drawing/2014/main" id="{94E60C76-1EEB-495A-9386-417163663CB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560320" y="17465040"/>
              <a:ext cx="182880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163286</xdr:colOff>
      <xdr:row>0</xdr:row>
      <xdr:rowOff>174171</xdr:rowOff>
    </xdr:from>
    <xdr:to>
      <xdr:col>24</xdr:col>
      <xdr:colOff>508000</xdr:colOff>
      <xdr:row>43</xdr:row>
      <xdr:rowOff>141514</xdr:rowOff>
    </xdr:to>
    <xdr:sp macro="" textlink="">
      <xdr:nvSpPr>
        <xdr:cNvPr id="16" name="Rectangle: Rounded Corners 15">
          <a:extLst>
            <a:ext uri="{FF2B5EF4-FFF2-40B4-BE49-F238E27FC236}">
              <a16:creationId xmlns:a16="http://schemas.microsoft.com/office/drawing/2014/main" id="{952E4ACA-6677-480D-A36F-926F2C5C23C9}"/>
            </a:ext>
          </a:extLst>
        </xdr:cNvPr>
        <xdr:cNvSpPr/>
      </xdr:nvSpPr>
      <xdr:spPr>
        <a:xfrm>
          <a:off x="163286" y="174171"/>
          <a:ext cx="14975114" cy="7612743"/>
        </a:xfrm>
        <a:prstGeom prst="roundRect">
          <a:avLst/>
        </a:prstGeom>
        <a:gradFill>
          <a:gsLst>
            <a:gs pos="0">
              <a:schemeClr val="accent2">
                <a:lumMod val="60000"/>
                <a:lumOff val="40000"/>
              </a:schemeClr>
            </a:gs>
            <a:gs pos="43000">
              <a:srgbClr val="EB7525"/>
            </a:gs>
            <a:gs pos="83000">
              <a:schemeClr val="accent2">
                <a:lumMod val="75000"/>
              </a:schemeClr>
            </a:gs>
            <a:gs pos="100000">
              <a:schemeClr val="accent2">
                <a:lumMod val="50000"/>
              </a:schemeClr>
            </a:gs>
          </a:gsLst>
          <a:lin ang="5400000" scaled="1"/>
        </a:gradFill>
        <a:ln>
          <a:solidFill>
            <a:srgbClr val="C85C1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575849</xdr:colOff>
      <xdr:row>6</xdr:row>
      <xdr:rowOff>14157</xdr:rowOff>
    </xdr:from>
    <xdr:to>
      <xdr:col>10</xdr:col>
      <xdr:colOff>293909</xdr:colOff>
      <xdr:row>9</xdr:row>
      <xdr:rowOff>138254</xdr:rowOff>
    </xdr:to>
    <xdr:sp macro="" textlink="Table1!$C$7">
      <xdr:nvSpPr>
        <xdr:cNvPr id="2" name="Rectangle: Rounded Corners 1">
          <a:extLst>
            <a:ext uri="{FF2B5EF4-FFF2-40B4-BE49-F238E27FC236}">
              <a16:creationId xmlns:a16="http://schemas.microsoft.com/office/drawing/2014/main" id="{7CA68A3B-D0E0-40C9-96C2-EEED107E6B94}"/>
            </a:ext>
          </a:extLst>
        </xdr:cNvPr>
        <xdr:cNvSpPr/>
      </xdr:nvSpPr>
      <xdr:spPr>
        <a:xfrm>
          <a:off x="4843049" y="1124500"/>
          <a:ext cx="1546860" cy="67926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ysClr val="windowText" lastClr="000000"/>
              </a:solidFill>
              <a:latin typeface="+mn-lt"/>
              <a:ea typeface="Calibri"/>
              <a:cs typeface="Calibri"/>
            </a:rPr>
            <a:t>Total Orders</a:t>
          </a:r>
          <a:br>
            <a:rPr lang="en-US" sz="1400" b="1" i="0" u="none" strike="noStrike">
              <a:solidFill>
                <a:sysClr val="windowText" lastClr="000000"/>
              </a:solidFill>
              <a:latin typeface="+mn-lt"/>
              <a:ea typeface="Calibri"/>
              <a:cs typeface="Calibri"/>
            </a:rPr>
          </a:br>
          <a:fld id="{F64E5B3F-5914-4DCE-A47E-A3D7A9F2D9A5}" type="TxLink">
            <a:rPr lang="en-US" sz="1400" b="1" i="0" u="none" strike="noStrike">
              <a:solidFill>
                <a:sysClr val="windowText" lastClr="000000"/>
              </a:solidFill>
              <a:latin typeface="+mn-lt"/>
              <a:ea typeface="Calibri"/>
              <a:cs typeface="Calibri"/>
            </a:rPr>
            <a:pPr marL="0" indent="0" algn="ctr"/>
            <a:t>2000</a:t>
          </a:fld>
          <a:endParaRPr lang="en-US" sz="1400" b="1" i="0" u="none" strike="noStrike">
            <a:solidFill>
              <a:sysClr val="windowText" lastClr="000000"/>
            </a:solidFill>
            <a:latin typeface="+mn-lt"/>
            <a:ea typeface="Calibri"/>
            <a:cs typeface="Calibri"/>
          </a:endParaRPr>
        </a:p>
      </xdr:txBody>
    </xdr:sp>
    <xdr:clientData/>
  </xdr:twoCellAnchor>
  <xdr:twoCellAnchor>
    <xdr:from>
      <xdr:col>17</xdr:col>
      <xdr:colOff>411473</xdr:colOff>
      <xdr:row>6</xdr:row>
      <xdr:rowOff>10893</xdr:rowOff>
    </xdr:from>
    <xdr:to>
      <xdr:col>20</xdr:col>
      <xdr:colOff>129533</xdr:colOff>
      <xdr:row>9</xdr:row>
      <xdr:rowOff>134990</xdr:rowOff>
    </xdr:to>
    <xdr:sp macro="" textlink="Table1!A7">
      <xdr:nvSpPr>
        <xdr:cNvPr id="3" name="Rectangle: Rounded Corners 2">
          <a:extLst>
            <a:ext uri="{FF2B5EF4-FFF2-40B4-BE49-F238E27FC236}">
              <a16:creationId xmlns:a16="http://schemas.microsoft.com/office/drawing/2014/main" id="{661EFC59-6E43-4D95-845F-034E2017D32E}"/>
            </a:ext>
          </a:extLst>
        </xdr:cNvPr>
        <xdr:cNvSpPr/>
      </xdr:nvSpPr>
      <xdr:spPr>
        <a:xfrm>
          <a:off x="10774673" y="1121236"/>
          <a:ext cx="1546860" cy="67926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ysClr val="windowText" lastClr="000000"/>
              </a:solidFill>
              <a:latin typeface="+mn-lt"/>
              <a:ea typeface="Calibri"/>
              <a:cs typeface="Calibri"/>
            </a:rPr>
            <a:t>Business </a:t>
          </a:r>
          <a:br>
            <a:rPr lang="en-US" sz="1400" b="1" i="0" u="none" strike="noStrike">
              <a:solidFill>
                <a:sysClr val="windowText" lastClr="000000"/>
              </a:solidFill>
              <a:latin typeface="+mn-lt"/>
              <a:ea typeface="Calibri"/>
              <a:cs typeface="Calibri"/>
            </a:rPr>
          </a:br>
          <a:fld id="{58652EAD-631B-4E01-BCD9-879B6241E296}" type="TxLink">
            <a:rPr lang="en-US" sz="1400" b="1" i="0" u="none" strike="noStrike">
              <a:solidFill>
                <a:sysClr val="windowText" lastClr="000000"/>
              </a:solidFill>
              <a:latin typeface="+mn-lt"/>
              <a:ea typeface="Calibri"/>
              <a:cs typeface="Calibri"/>
            </a:rPr>
            <a:pPr marL="0" indent="0" algn="ctr"/>
            <a:t>Heritage Bakes</a:t>
          </a:fld>
          <a:endParaRPr lang="en-US" sz="1400" b="1" i="0" u="none" strike="noStrike">
            <a:solidFill>
              <a:sysClr val="windowText" lastClr="000000"/>
            </a:solidFill>
            <a:latin typeface="+mn-lt"/>
            <a:ea typeface="Calibri"/>
            <a:cs typeface="Calibri"/>
          </a:endParaRPr>
        </a:p>
      </xdr:txBody>
    </xdr:sp>
    <xdr:clientData/>
  </xdr:twoCellAnchor>
  <xdr:twoCellAnchor>
    <xdr:from>
      <xdr:col>4</xdr:col>
      <xdr:colOff>445220</xdr:colOff>
      <xdr:row>6</xdr:row>
      <xdr:rowOff>8715</xdr:rowOff>
    </xdr:from>
    <xdr:to>
      <xdr:col>7</xdr:col>
      <xdr:colOff>163280</xdr:colOff>
      <xdr:row>9</xdr:row>
      <xdr:rowOff>132812</xdr:rowOff>
    </xdr:to>
    <xdr:sp macro="" textlink="Table1!$I$7">
      <xdr:nvSpPr>
        <xdr:cNvPr id="4" name="Rectangle: Rounded Corners 3">
          <a:extLst>
            <a:ext uri="{FF2B5EF4-FFF2-40B4-BE49-F238E27FC236}">
              <a16:creationId xmlns:a16="http://schemas.microsoft.com/office/drawing/2014/main" id="{90175D6C-3968-46EE-ADC5-C981EDF0B11F}"/>
            </a:ext>
          </a:extLst>
        </xdr:cNvPr>
        <xdr:cNvSpPr/>
      </xdr:nvSpPr>
      <xdr:spPr>
        <a:xfrm>
          <a:off x="2883620" y="1119058"/>
          <a:ext cx="1546860" cy="67926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ysClr val="windowText" lastClr="000000"/>
              </a:solidFill>
              <a:latin typeface="+mn-lt"/>
              <a:ea typeface="Calibri"/>
              <a:cs typeface="Calibri"/>
            </a:rPr>
            <a:t>Total Revenue</a:t>
          </a:r>
          <a:br>
            <a:rPr lang="en-US" sz="1400" b="1" i="0" u="none" strike="noStrike">
              <a:solidFill>
                <a:sysClr val="windowText" lastClr="000000"/>
              </a:solidFill>
              <a:latin typeface="+mn-lt"/>
              <a:ea typeface="Calibri"/>
              <a:cs typeface="Calibri"/>
            </a:rPr>
          </a:br>
          <a:fld id="{80E43B13-B133-4F30-9AA2-A2E3AE2C3E04}" type="TxLink">
            <a:rPr lang="en-US" sz="1400" b="1" i="0" u="none" strike="noStrike">
              <a:solidFill>
                <a:sysClr val="windowText" lastClr="000000"/>
              </a:solidFill>
              <a:latin typeface="Calibri"/>
              <a:ea typeface="Calibri"/>
              <a:cs typeface="Calibri"/>
            </a:rPr>
            <a:pPr algn="ctr"/>
            <a:t>$505,838.78</a:t>
          </a:fld>
          <a:endParaRPr lang="en-US" sz="1400" b="1" i="0" u="none" strike="noStrike">
            <a:solidFill>
              <a:sysClr val="windowText" lastClr="000000"/>
            </a:solidFill>
            <a:latin typeface="Calibri"/>
            <a:ea typeface="Calibri"/>
            <a:cs typeface="Calibri"/>
          </a:endParaRPr>
        </a:p>
      </xdr:txBody>
    </xdr:sp>
    <xdr:clientData/>
  </xdr:twoCellAnchor>
  <xdr:twoCellAnchor>
    <xdr:from>
      <xdr:col>14</xdr:col>
      <xdr:colOff>223151</xdr:colOff>
      <xdr:row>6</xdr:row>
      <xdr:rowOff>6537</xdr:rowOff>
    </xdr:from>
    <xdr:to>
      <xdr:col>16</xdr:col>
      <xdr:colOff>550811</xdr:colOff>
      <xdr:row>9</xdr:row>
      <xdr:rowOff>130634</xdr:rowOff>
    </xdr:to>
    <xdr:sp macro="" textlink="Table1!$G$7">
      <xdr:nvSpPr>
        <xdr:cNvPr id="5" name="Rectangle: Rounded Corners 4">
          <a:extLst>
            <a:ext uri="{FF2B5EF4-FFF2-40B4-BE49-F238E27FC236}">
              <a16:creationId xmlns:a16="http://schemas.microsoft.com/office/drawing/2014/main" id="{42E057DC-4EF2-4CF4-9B70-2AD1C83079FC}"/>
            </a:ext>
          </a:extLst>
        </xdr:cNvPr>
        <xdr:cNvSpPr/>
      </xdr:nvSpPr>
      <xdr:spPr>
        <a:xfrm>
          <a:off x="8757551" y="1116880"/>
          <a:ext cx="1546860" cy="67926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ysClr val="windowText" lastClr="000000"/>
              </a:solidFill>
              <a:latin typeface="+mn-lt"/>
              <a:ea typeface="Calibri"/>
              <a:cs typeface="Calibri"/>
            </a:rPr>
            <a:t>Total Channels</a:t>
          </a:r>
          <a:br>
            <a:rPr lang="en-US" sz="1400" b="1" i="0" u="none" strike="noStrike">
              <a:solidFill>
                <a:sysClr val="windowText" lastClr="000000"/>
              </a:solidFill>
              <a:latin typeface="+mn-lt"/>
              <a:ea typeface="Calibri"/>
              <a:cs typeface="Calibri"/>
            </a:rPr>
          </a:br>
          <a:fld id="{753BFB79-8EBD-4C02-979D-46965D41C0E5}" type="TxLink">
            <a:rPr lang="en-US" sz="1400" b="1" i="0" u="none" strike="noStrike">
              <a:solidFill>
                <a:sysClr val="windowText" lastClr="000000"/>
              </a:solidFill>
              <a:latin typeface="+mn-lt"/>
              <a:ea typeface="Calibri"/>
              <a:cs typeface="Calibri"/>
            </a:rPr>
            <a:pPr marL="0" indent="0" algn="ctr"/>
            <a:t>6</a:t>
          </a:fld>
          <a:endParaRPr lang="en-US" sz="1400" b="1" i="0" u="none" strike="noStrike">
            <a:solidFill>
              <a:sysClr val="windowText" lastClr="000000"/>
            </a:solidFill>
            <a:latin typeface="+mn-lt"/>
            <a:ea typeface="Calibri"/>
            <a:cs typeface="Calibri"/>
          </a:endParaRPr>
        </a:p>
      </xdr:txBody>
    </xdr:sp>
    <xdr:clientData/>
  </xdr:twoCellAnchor>
  <xdr:twoCellAnchor>
    <xdr:from>
      <xdr:col>11</xdr:col>
      <xdr:colOff>88168</xdr:colOff>
      <xdr:row>6</xdr:row>
      <xdr:rowOff>15247</xdr:rowOff>
    </xdr:from>
    <xdr:to>
      <xdr:col>13</xdr:col>
      <xdr:colOff>415828</xdr:colOff>
      <xdr:row>9</xdr:row>
      <xdr:rowOff>137167</xdr:rowOff>
    </xdr:to>
    <xdr:sp macro="" textlink="Table1!$E$7">
      <xdr:nvSpPr>
        <xdr:cNvPr id="6" name="Rectangle: Rounded Corners 5">
          <a:extLst>
            <a:ext uri="{FF2B5EF4-FFF2-40B4-BE49-F238E27FC236}">
              <a16:creationId xmlns:a16="http://schemas.microsoft.com/office/drawing/2014/main" id="{D506BD93-928D-43A7-9248-2D88825F820F}"/>
            </a:ext>
          </a:extLst>
        </xdr:cNvPr>
        <xdr:cNvSpPr/>
      </xdr:nvSpPr>
      <xdr:spPr>
        <a:xfrm>
          <a:off x="6793768" y="1125590"/>
          <a:ext cx="1546860" cy="67709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ysClr val="windowText" lastClr="000000"/>
              </a:solidFill>
              <a:latin typeface="+mn-lt"/>
              <a:ea typeface="Calibri"/>
              <a:cs typeface="Calibri"/>
            </a:rPr>
            <a:t>Total Sales Reps</a:t>
          </a:r>
          <a:br>
            <a:rPr lang="en-US" sz="1400" b="1" i="0" u="none" strike="noStrike">
              <a:solidFill>
                <a:sysClr val="windowText" lastClr="000000"/>
              </a:solidFill>
              <a:latin typeface="+mn-lt"/>
              <a:ea typeface="Calibri"/>
              <a:cs typeface="Calibri"/>
            </a:rPr>
          </a:br>
          <a:fld id="{5DADB696-87F6-4BB0-B36B-409E3A1E3175}" type="TxLink">
            <a:rPr lang="en-US" sz="1400" b="1" i="0" u="none" strike="noStrike">
              <a:solidFill>
                <a:sysClr val="windowText" lastClr="000000"/>
              </a:solidFill>
              <a:latin typeface="+mn-lt"/>
              <a:ea typeface="Calibri"/>
              <a:cs typeface="Calibri"/>
            </a:rPr>
            <a:pPr marL="0" indent="0" algn="ctr"/>
            <a:t>1962</a:t>
          </a:fld>
          <a:endParaRPr lang="en-US" sz="1400" b="1" i="0" u="none" strike="noStrike">
            <a:solidFill>
              <a:sysClr val="windowText" lastClr="000000"/>
            </a:solidFill>
            <a:latin typeface="+mn-lt"/>
            <a:ea typeface="Calibri"/>
            <a:cs typeface="Calibri"/>
          </a:endParaRPr>
        </a:p>
      </xdr:txBody>
    </xdr:sp>
    <xdr:clientData/>
  </xdr:twoCellAnchor>
  <xdr:twoCellAnchor>
    <xdr:from>
      <xdr:col>8</xdr:col>
      <xdr:colOff>393700</xdr:colOff>
      <xdr:row>25</xdr:row>
      <xdr:rowOff>152762</xdr:rowOff>
    </xdr:from>
    <xdr:to>
      <xdr:col>16</xdr:col>
      <xdr:colOff>304800</xdr:colOff>
      <xdr:row>41</xdr:row>
      <xdr:rowOff>88900</xdr:rowOff>
    </xdr:to>
    <xdr:graphicFrame macro="">
      <xdr:nvGraphicFramePr>
        <xdr:cNvPr id="7" name="Chart 6">
          <a:extLst>
            <a:ext uri="{FF2B5EF4-FFF2-40B4-BE49-F238E27FC236}">
              <a16:creationId xmlns:a16="http://schemas.microsoft.com/office/drawing/2014/main" id="{458E9189-0991-4D4A-AA59-3E8497431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398778</xdr:colOff>
      <xdr:row>25</xdr:row>
      <xdr:rowOff>105954</xdr:rowOff>
    </xdr:from>
    <xdr:to>
      <xdr:col>24</xdr:col>
      <xdr:colOff>93978</xdr:colOff>
      <xdr:row>41</xdr:row>
      <xdr:rowOff>76200</xdr:rowOff>
    </xdr:to>
    <xdr:graphicFrame macro="">
      <xdr:nvGraphicFramePr>
        <xdr:cNvPr id="8" name="Chart 7">
          <a:extLst>
            <a:ext uri="{FF2B5EF4-FFF2-40B4-BE49-F238E27FC236}">
              <a16:creationId xmlns:a16="http://schemas.microsoft.com/office/drawing/2014/main" id="{4EB962E0-6EEB-4F58-9F14-7C526BE36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356325</xdr:colOff>
      <xdr:row>10</xdr:row>
      <xdr:rowOff>47897</xdr:rowOff>
    </xdr:from>
    <xdr:to>
      <xdr:col>24</xdr:col>
      <xdr:colOff>51525</xdr:colOff>
      <xdr:row>25</xdr:row>
      <xdr:rowOff>47897</xdr:rowOff>
    </xdr:to>
    <xdr:graphicFrame macro="">
      <xdr:nvGraphicFramePr>
        <xdr:cNvPr id="9" name="Chart 8">
          <a:extLst>
            <a:ext uri="{FF2B5EF4-FFF2-40B4-BE49-F238E27FC236}">
              <a16:creationId xmlns:a16="http://schemas.microsoft.com/office/drawing/2014/main" id="{BFE7C03B-2878-4FA0-8BA4-400BE0328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327660</xdr:colOff>
      <xdr:row>56</xdr:row>
      <xdr:rowOff>144780</xdr:rowOff>
    </xdr:from>
    <xdr:to>
      <xdr:col>17</xdr:col>
      <xdr:colOff>22860</xdr:colOff>
      <xdr:row>71</xdr:row>
      <xdr:rowOff>144780</xdr:rowOff>
    </xdr:to>
    <xdr:graphicFrame macro="">
      <xdr:nvGraphicFramePr>
        <xdr:cNvPr id="10" name="Chart 9">
          <a:extLst>
            <a:ext uri="{FF2B5EF4-FFF2-40B4-BE49-F238E27FC236}">
              <a16:creationId xmlns:a16="http://schemas.microsoft.com/office/drawing/2014/main" id="{668584BA-ADD2-4166-88BC-0B1C95E54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132444</xdr:colOff>
      <xdr:row>10</xdr:row>
      <xdr:rowOff>60960</xdr:rowOff>
    </xdr:from>
    <xdr:to>
      <xdr:col>16</xdr:col>
      <xdr:colOff>277224</xdr:colOff>
      <xdr:row>25</xdr:row>
      <xdr:rowOff>60960</xdr:rowOff>
    </xdr:to>
    <xdr:graphicFrame macro="">
      <xdr:nvGraphicFramePr>
        <xdr:cNvPr id="11" name="Chart 10">
          <a:extLst>
            <a:ext uri="{FF2B5EF4-FFF2-40B4-BE49-F238E27FC236}">
              <a16:creationId xmlns:a16="http://schemas.microsoft.com/office/drawing/2014/main" id="{D3154526-F02E-4166-A605-15A279FFB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596900</xdr:colOff>
      <xdr:row>25</xdr:row>
      <xdr:rowOff>157842</xdr:rowOff>
    </xdr:from>
    <xdr:to>
      <xdr:col>8</xdr:col>
      <xdr:colOff>292100</xdr:colOff>
      <xdr:row>41</xdr:row>
      <xdr:rowOff>56242</xdr:rowOff>
    </xdr:to>
    <xdr:graphicFrame macro="">
      <xdr:nvGraphicFramePr>
        <xdr:cNvPr id="13" name="Chart 12">
          <a:extLst>
            <a:ext uri="{FF2B5EF4-FFF2-40B4-BE49-F238E27FC236}">
              <a16:creationId xmlns:a16="http://schemas.microsoft.com/office/drawing/2014/main" id="{9FA02A2E-3C44-40C7-BB3B-9DF7EA472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12700</xdr:colOff>
      <xdr:row>10</xdr:row>
      <xdr:rowOff>74386</xdr:rowOff>
    </xdr:from>
    <xdr:to>
      <xdr:col>7</xdr:col>
      <xdr:colOff>65314</xdr:colOff>
      <xdr:row>25</xdr:row>
      <xdr:rowOff>87086</xdr:rowOff>
    </xdr:to>
    <mc:AlternateContent xmlns:mc="http://schemas.openxmlformats.org/markup-compatibility/2006" xmlns:a14="http://schemas.microsoft.com/office/drawing/2010/main">
      <mc:Choice Requires="a14">
        <xdr:graphicFrame macro="">
          <xdr:nvGraphicFramePr>
            <xdr:cNvPr id="14" name="Date (Month) 1">
              <a:extLst>
                <a:ext uri="{FF2B5EF4-FFF2-40B4-BE49-F238E27FC236}">
                  <a16:creationId xmlns:a16="http://schemas.microsoft.com/office/drawing/2014/main" id="{722464F5-179C-4F9F-8497-99C06393651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22300" y="1924957"/>
              <a:ext cx="3710214" cy="2788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317500</xdr:colOff>
      <xdr:row>2</xdr:row>
      <xdr:rowOff>5443</xdr:rowOff>
    </xdr:from>
    <xdr:to>
      <xdr:col>17</xdr:col>
      <xdr:colOff>382814</xdr:colOff>
      <xdr:row>4</xdr:row>
      <xdr:rowOff>172356</xdr:rowOff>
    </xdr:to>
    <xdr:sp macro="" textlink="">
      <xdr:nvSpPr>
        <xdr:cNvPr id="15" name="Rectangle: Rounded Corners 14">
          <a:extLst>
            <a:ext uri="{FF2B5EF4-FFF2-40B4-BE49-F238E27FC236}">
              <a16:creationId xmlns:a16="http://schemas.microsoft.com/office/drawing/2014/main" id="{970000C8-E834-42EB-A805-C50E9BFE381C}"/>
            </a:ext>
          </a:extLst>
        </xdr:cNvPr>
        <xdr:cNvSpPr/>
      </xdr:nvSpPr>
      <xdr:spPr>
        <a:xfrm>
          <a:off x="4584700" y="361043"/>
          <a:ext cx="6161314" cy="52251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u="none" strike="noStrike">
              <a:solidFill>
                <a:sysClr val="windowText" lastClr="000000"/>
              </a:solidFill>
              <a:latin typeface="+mn-lt"/>
              <a:ea typeface="Calibri"/>
              <a:cs typeface="Calibri"/>
            </a:rPr>
            <a:t>SweetRise Bakery 2023 Sales Dashboard</a:t>
          </a:r>
        </a:p>
        <a:p>
          <a:pPr marL="0" indent="0" algn="ctr"/>
          <a:endParaRPr lang="en-US" sz="1400" b="1" i="0" u="none" strike="noStrike">
            <a:solidFill>
              <a:sysClr val="windowText" lastClr="000000"/>
            </a:solidFill>
            <a:latin typeface="+mn-lt"/>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0856483" backgroundQuery="1" createdVersion="7" refreshedVersion="7" minRefreshableVersion="3" recordCount="0" supportSubquery="1" supportAdvancedDrill="1" xr:uid="{51425D30-D9B4-49AA-8B07-48C90B460EDB}">
  <cacheSource type="external" connectionId="2"/>
  <cacheFields count="1">
    <cacheField name="[Table1].[Business].[Business]" caption="Business" numFmtId="0" hierarchy="8" level="1">
      <sharedItems count="1">
        <s v="Heritage Bakes"/>
      </sharedItems>
    </cacheField>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Business]" caption="Business" attribute="1" defaultMemberUniqueName="[Table1].[Business].[All]" allUniqueName="[Table1].[Business].[All]" dimensionUniqueName="[Table1]" displayFolder="" count="2" memberValueDatatype="130" unbalanced="0">
      <fieldsUsage count="2">
        <fieldUsage x="-1"/>
        <fieldUsage x="0"/>
      </fieldsUsage>
    </cacheHierarchy>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1550929" backgroundQuery="1" createdVersion="7" refreshedVersion="7" minRefreshableVersion="3" recordCount="0" supportSubquery="1" supportAdvancedDrill="1" xr:uid="{F4D0D26F-6C8D-4449-9F6D-6D82DF0ADDE2}">
  <cacheSource type="external" connectionId="2"/>
  <cacheFields count="1">
    <cacheField name="[Measures].[Sum of Revenue]" caption="Sum of Revenue" numFmtId="0" hierarchy="19" level="32767"/>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2013891" backgroundQuery="1" createdVersion="7" refreshedVersion="7" minRefreshableVersion="3" recordCount="0" supportSubquery="1" supportAdvancedDrill="1" xr:uid="{F952473E-8460-4D15-B645-005019EE42C4}">
  <cacheSource type="external" connectionId="2"/>
  <cacheFields count="1">
    <cacheField name="[Measures].[Sum of Revenue]" caption="Sum of Revenue" numFmtId="0" hierarchy="19" level="32767"/>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2476853" backgroundQuery="1" createdVersion="7" refreshedVersion="7" minRefreshableVersion="3" recordCount="0" supportSubquery="1" supportAdvancedDrill="1" xr:uid="{094B8F12-DCD4-4FA7-B083-FEB104F6CEDD}">
  <cacheSource type="external" connectionId="2"/>
  <cacheFields count="2">
    <cacheField name="[Measures].[Sum of Revenue]" caption="Sum of Revenue" numFmtId="0" hierarchy="19" level="32767"/>
    <cacheField name="[Table1].[Channel].[Channel]" caption="Channel" numFmtId="0" hierarchy="2" level="1">
      <sharedItems count="6">
        <s v="Email"/>
        <s v="Facebook"/>
        <s v="Google Ads"/>
        <s v="Instagram"/>
        <s v="Referral"/>
        <s v="Walk-in"/>
      </sharedItems>
    </cacheField>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1"/>
      </fieldsUsage>
    </cacheHierarchy>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2939815" backgroundQuery="1" createdVersion="7" refreshedVersion="7" minRefreshableVersion="3" recordCount="0" supportSubquery="1" supportAdvancedDrill="1" xr:uid="{E7F99A8E-8C90-4ED1-BCA0-EE6C5E238E29}">
  <cacheSource type="external" connectionId="2"/>
  <cacheFields count="2">
    <cacheField name="[Measures].[Sum of Revenue]" caption="Sum of Revenue" numFmtId="0" hierarchy="19" level="32767"/>
    <cacheField name="[Table1].[Customer Type].[Customer Type]" caption="Customer Type" numFmtId="0" hierarchy="6" level="1">
      <sharedItems count="2">
        <s v="New"/>
        <s v="Returning"/>
      </sharedItems>
    </cacheField>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1"/>
      </fieldsUsage>
    </cacheHierarchy>
    <cacheHierarchy uniqueName="[Table1].[Sales Rep]" caption="Sales Rep" attribute="1" defaultMemberUniqueName="[Table1].[Sales Rep].[All]" allUniqueName="[Table1].[Sales Rep].[All]" dimensionUniqueName="[Table1]" displayFolder="" count="2"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3402777" backgroundQuery="1" createdVersion="7" refreshedVersion="7" minRefreshableVersion="3" recordCount="0" supportSubquery="1" supportAdvancedDrill="1" xr:uid="{F471D30F-C314-4972-B485-3E66F03ED29F}">
  <cacheSource type="external" connectionId="2"/>
  <cacheFields count="2">
    <cacheField name="[Measures].[Sum of Revenue]" caption="Sum of Revenue" numFmtId="0" hierarchy="19" level="32767"/>
    <cacheField name="[Table1].[Time of Day].[Time of Day]" caption="Time of Day" numFmtId="0" hierarchy="1" level="1">
      <sharedItems count="4">
        <s v="Afternoon"/>
        <s v="Evening"/>
        <s v="Morning"/>
        <s v="Night"/>
      </sharedItems>
    </cacheField>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4907408" backgroundQuery="1" createdVersion="7" refreshedVersion="7" minRefreshableVersion="3" recordCount="0" supportSubquery="1" supportAdvancedDrill="1" xr:uid="{FB65063E-10F6-42D5-9EEE-A0D642223FE1}">
  <cacheSource type="external" connectionId="2"/>
  <cacheFields count="2">
    <cacheField name="[Measures].[Sum of Revenue]" caption="Sum of Revenue" numFmtId="0" hierarchy="19" level="32767"/>
    <cacheField name="[Table1].[Sales Rep].[Sales Rep]" caption="Sales Rep" numFmtId="0" hierarchy="7" level="1">
      <sharedItems count="7">
        <s v="Andrew Chavez"/>
        <s v="Chad Williams"/>
        <s v="Christopher Jones"/>
        <s v="Michael Smith"/>
        <s v="Scott Brown"/>
        <s v="Susan Garcia"/>
        <s v="Tiffany Davis"/>
      </sharedItems>
    </cacheField>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1"/>
      </fieldsUsage>
    </cacheHierarchy>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5601855" backgroundQuery="1" createdVersion="7" refreshedVersion="7" minRefreshableVersion="3" recordCount="0" supportSubquery="1" supportAdvancedDrill="1" xr:uid="{8D3E0C27-BE41-43D5-94B4-E42D1A64A21C}">
  <cacheSource type="external" connectionId="2"/>
  <cacheFields count="1">
    <cacheField name="[Measures].[Distinct Count of Channel]" caption="Distinct Count of Channel" numFmtId="0" hierarchy="18" level="32767"/>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5949071" backgroundQuery="1" createdVersion="7" refreshedVersion="7" minRefreshableVersion="3" recordCount="0" supportSubquery="1" supportAdvancedDrill="1" xr:uid="{4FBFECDE-4440-4AFA-BBB9-8D0CF99C2D19}">
  <cacheSource type="external" connectionId="2"/>
  <cacheFields count="1">
    <cacheField name="[Measures].[Count of Time of Day]" caption="Count of Time of Day" numFmtId="0" hierarchy="13" level="32767"/>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641204" backgroundQuery="1" createdVersion="7" refreshedVersion="7" minRefreshableVersion="3" recordCount="0" supportSubquery="1" supportAdvancedDrill="1" xr:uid="{C62FD537-6C2F-4876-88D8-6EAABC4CB157}">
  <cacheSource type="external" connectionId="2"/>
  <cacheFields count="1">
    <cacheField name="[Measures].[Sum of Revenue]" caption="Sum of Revenue" numFmtId="0" hierarchy="19" level="32767"/>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596875002" backgroundQuery="1" createdVersion="7" refreshedVersion="7" minRefreshableVersion="3" recordCount="0" supportSubquery="1" supportAdvancedDrill="1" xr:uid="{6D293934-C942-4A0E-905A-11A16CB8C9F4}">
  <cacheSource type="external" connectionId="2"/>
  <cacheFields count="1">
    <cacheField name="[Measures].[Distinct Count of Sales Rep]" caption="Distinct Count of Sales Rep" numFmtId="0" hierarchy="16" level="32767"/>
  </cacheFields>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58879745367" backgroundQuery="1" createdVersion="7" refreshedVersion="7" minRefreshableVersion="3" recordCount="0" supportSubquery="1" supportAdvancedDrill="1" xr:uid="{E78DC4D0-BBDB-4A2F-9901-69625C225D58}">
  <cacheSource type="external" connectionId="2"/>
  <cacheFields count="3">
    <cacheField name="[Table1].[Date].[Date]" caption="Date" numFmtId="0" level="1">
      <sharedItems containsSemiMixedTypes="0" containsNonDate="0" containsDate="1" containsString="0" minDate="2023-12-01T00:00:00" maxDate="2024-01-01T00:00:00" count="31">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Table1].[Date (Month)].[Date (Month)]" caption="Date (Month)" numFmtId="0" hierarchy="9" level="1">
      <sharedItems count="12">
        <s v="Jan"/>
        <s v="Feb"/>
        <s v="Mar"/>
        <s v="Apr"/>
        <s v="May"/>
        <s v="Jun"/>
        <s v="Jul"/>
        <s v="Aug"/>
        <s v="Sep"/>
        <s v="Oct"/>
        <s v="Nov"/>
        <s v="Dec"/>
      </sharedItems>
    </cacheField>
    <cacheField name="[Measures].[Sum of Revenue]" caption="Sum of Revenue" numFmtId="0" hierarchy="19" level="32767"/>
  </cacheFields>
  <cacheHierarchies count="20">
    <cacheHierarchy uniqueName="[Table1].[Date]" caption="Date" attribute="1" time="1" defaultMemberUniqueName="[Table1].[Date].[All]" allUniqueName="[Table1].[Date].[All]" dimensionUniqueName="[Table1]" displayFolder="" count="2" memberValueDatatype="7" unbalanced="0">
      <fieldsUsage count="2">
        <fieldUsage x="-1"/>
        <fieldUsage x="0"/>
      </fieldsUsage>
    </cacheHierarchy>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38353356482" backgroundQuery="1" createdVersion="3" refreshedVersion="7" minRefreshableVersion="3" recordCount="0" supportSubquery="1" supportAdvancedDrill="1" xr:uid="{7E701A58-E67A-445D-B1DB-7B5444A3E67C}">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5584988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7.035810879628" backgroundQuery="1" createdVersion="3" refreshedVersion="7" minRefreshableVersion="3" recordCount="0" supportSubquery="1" supportAdvancedDrill="1" xr:uid="{77F83F73-2A2F-48F1-957B-E4B34737190F}">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Table1].[Date]" caption="Date" attribute="1" time="1" defaultMemberUniqueName="[Table1].[Date].[All]" allUniqueName="[Table1].[Date].[All]" dimensionUniqueName="[Table1]" displayFolder="" count="2"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6" unbalanced="0"/>
    <cacheHierarchy uniqueName="[Table1].[Average Order Size]" caption="Average Order Size" attribute="1" defaultMemberUniqueName="[Table1].[Average Order Size].[All]" allUniqueName="[Table1].[Average Order Size].[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Business]" caption="Business" attribute="1" defaultMemberUniqueName="[Table1].[Business].[All]" allUniqueName="[Table1].[Business].[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me of Day]" caption="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Distinct Count of Time of Day]" caption="Distinct Count of Time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Rep]" caption="Count of Sales Rep"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ales Rep]" caption="Distinct Count of Sales Rep" measure="1" displayFolder="" measureGroup="Table1" count="0" hidden="1">
      <extLst>
        <ext xmlns:x15="http://schemas.microsoft.com/office/spreadsheetml/2010/11/main" uri="{B97F6D7D-B522-45F9-BDA1-12C45D357490}">
          <x15:cacheHierarchy aggregatedColumn="7"/>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hannel]" caption="Distinct Count of Channel"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pivotCacheId="12331799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C8B091-B68B-4FDA-AF0C-3C6A9B3ADCD8}" name="PivotTable9" cacheId="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A28:A29" firstHeaderRow="1" firstDataRow="1" firstDataCol="0"/>
  <pivotFields count="1">
    <pivotField dataField="1" subtotalTop="0" showAll="0" defaultSubtotal="0"/>
  </pivotFields>
  <rowItems count="1">
    <i/>
  </rowItems>
  <colItems count="1">
    <i/>
  </colItems>
  <dataFields count="1">
    <dataField name="Total Revenue" fld="0" baseField="0" baseItem="16777216"/>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Channels"/>
    <pivotHierarchy dragToData="1" caption="Total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30C2D8-BAB1-41F9-92C4-BD77061C6B23}" name="Total Revenue"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I6:I7" firstHeaderRow="1" firstDataRow="1" firstDataCol="0"/>
  <pivotFields count="1">
    <pivotField dataField="1" subtotalTop="0" showAll="0" defaultSubtotal="0"/>
  </pivotFields>
  <rowItems count="1">
    <i/>
  </rowItems>
  <colItems count="1">
    <i/>
  </colItems>
  <dataFields count="1">
    <dataField name="Total Revenue" fld="0" baseField="0" baseItem="16777216"/>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Channels"/>
    <pivotHierarchy dragToData="1" caption="Total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0DC1DD-D672-42A3-82B2-274FA508846B}" name="Total Orders" cacheId="8"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C6:C7"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Time of Da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7D52A3-5B9A-4263-8318-6F24972B43E5}" name="Top 10 Sales Rep By Sales"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6:B44" firstHeaderRow="1" firstDataRow="1" firstDataCol="1"/>
  <pivotFields count="2">
    <pivotField dataField="1" subtotalTop="0" showAll="0" defaultSubtotal="0"/>
    <pivotField axis="axisRow" allDrilled="1" subtotalTop="0" showAll="0" measureFilter="1"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6"/>
    </i>
    <i>
      <x v="2"/>
    </i>
    <i>
      <x v="3"/>
    </i>
    <i>
      <x/>
    </i>
    <i>
      <x v="1"/>
    </i>
    <i>
      <x v="4"/>
    </i>
    <i>
      <x v="5"/>
    </i>
    <i t="grand">
      <x/>
    </i>
  </rowItems>
  <colItems count="1">
    <i/>
  </colItems>
  <dataFields count="1">
    <dataField name="Total Revenue" fld="0" baseField="0" baseItem="1677721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Channels"/>
    <pivotHierarchy dragToData="1" caption="Total Revenue"/>
  </pivotHierarchies>
  <pivotTableStyleInfo name="PivotStyleLight16" showRowHeaders="1" showColHeaders="1" showRowStripes="0" showColStripes="0" showLastColumn="1"/>
  <filters count="1">
    <filter fld="1" type="count" id="2" iMeasureHier="19">
      <autoFilter ref="A1">
        <filterColumn colId="0">
          <top10 val="7" filterVal="7"/>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C227DA-22B0-4997-BB9D-CF78691D2D80}" name="Total Channels"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6:G7" firstHeaderRow="1" firstDataRow="1" firstDataCol="0"/>
  <pivotFields count="1">
    <pivotField dataField="1" subtotalTop="0" showAll="0" defaultSubtotal="0"/>
  </pivotFields>
  <rowItems count="1">
    <i/>
  </rowItems>
  <colItems count="1">
    <i/>
  </colItems>
  <dataFields count="1">
    <dataField name="Total Channels" fld="0" subtotal="count" baseField="0" baseItem="16777469">
      <extLst>
        <ext xmlns:x15="http://schemas.microsoft.com/office/spreadsheetml/2010/11/main" uri="{FABC7310-3BB5-11E1-824E-6D434824019B}">
          <x15:dataField isCountDistinct="1"/>
        </ext>
      </extLst>
    </dataField>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Channel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4FBB98-DE02-4198-9DF5-211D7A6E0F47}" name="PivotTable13" cacheId="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A126:A127" firstHeaderRow="1" firstDataRow="1" firstDataCol="0"/>
  <pivotFields count="1">
    <pivotField dataField="1" subtotalTop="0" showAll="0" defaultSubtotal="0"/>
  </pivotFields>
  <rowItems count="1">
    <i/>
  </rowItems>
  <colItems count="1">
    <i/>
  </colItems>
  <dataFields count="1">
    <dataField name="Total Revenue" fld="0" baseField="0" baseItem="16777216"/>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Channels"/>
    <pivotHierarchy dragToData="1" caption="Total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287C31-9DB1-444E-BE30-34F9FA3D6720}" name="Revenue By Channel" cacheId="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
  <location ref="A70:B77" firstHeaderRow="1" firstDataRow="1" firstDataCol="1"/>
  <pivotFields count="2">
    <pivotField dataField="1" subtotalTop="0" showAll="0" defaultSubtotal="0"/>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i>
    <i>
      <x v="1"/>
    </i>
    <i>
      <x v="5"/>
    </i>
    <i>
      <x v="2"/>
    </i>
    <i>
      <x v="3"/>
    </i>
    <i>
      <x v="4"/>
    </i>
    <i t="grand">
      <x/>
    </i>
  </rowItems>
  <colItems count="1">
    <i/>
  </colItems>
  <dataFields count="1">
    <dataField name="Total Revenue" fld="0" baseField="0" baseItem="1677721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Channels"/>
    <pivotHierarchy dragToData="1" caption="Total Revenue"/>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9177CD-ED92-4CB7-8D8D-E6B5BEFD107E}" name="Revenue By Time of Day " cacheId="5"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7">
  <location ref="A111:B116" firstHeaderRow="1" firstDataRow="1" firstDataCol="1"/>
  <pivotFields count="2">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v="2"/>
    </i>
    <i>
      <x v="1"/>
    </i>
    <i>
      <x/>
    </i>
    <i t="grand">
      <x/>
    </i>
  </rowItems>
  <colItems count="1">
    <i/>
  </colItems>
  <dataFields count="1">
    <dataField name="Total Revenue" fld="0" baseField="0" baseItem="16777216"/>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Channels"/>
    <pivotHierarchy dragToData="1" caption="Total Revenu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D6013B-F6DA-4DA4-8F64-124F678C692D}" name="Total Sales Reps" cacheId="1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E6:E7" firstHeaderRow="1" firstDataRow="1" firstDataCol="0"/>
  <pivotFields count="1">
    <pivotField dataField="1" subtotalTop="0" showAll="0" defaultSubtotal="0"/>
  </pivotFields>
  <rowItems count="1">
    <i/>
  </rowItems>
  <colItems count="1">
    <i/>
  </colItems>
  <dataFields count="1">
    <dataField name="Total Sales Reps" fld="0" subtotal="count" baseField="0" baseItem="16777345">
      <extLst>
        <ext xmlns:x15="http://schemas.microsoft.com/office/spreadsheetml/2010/11/main" uri="{FABC7310-3BB5-11E1-824E-6D434824019B}">
          <x15:dataField isCountDistinct="1"/>
        </ext>
      </extLst>
    </dataField>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Sales Rep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7B8B96-37DC-455A-AE10-362493C8EC86}" name="Revenue By Date" cacheId="1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
  <location ref="A229:B242"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5"/>
          </reference>
        </references>
      </pivotArea>
    </chartFormat>
    <chartFormat chart="0" format="3">
      <pivotArea type="data" outline="0" fieldPosition="0">
        <references count="2">
          <reference field="4294967294" count="1" selected="0">
            <x v="0"/>
          </reference>
          <reference field="1" count="1" selected="0">
            <x v="8"/>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5"/>
          </reference>
        </references>
      </pivotArea>
    </chartFormat>
    <chartFormat chart="3" format="14">
      <pivotArea type="data" outline="0" fieldPosition="0">
        <references count="2">
          <reference field="4294967294" count="1" selected="0">
            <x v="0"/>
          </reference>
          <reference field="1" count="1" selected="0">
            <x v="8"/>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Time of Da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CBA3A4-3658-4576-8370-3A4689744B48}" name="Revenue By Customer Type" cacheId="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
  <location ref="A92:B9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Total Revenue" fld="0" baseField="0" baseItem="16777216"/>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Channels"/>
    <pivotHierarchy dragToData="1" caption="Total Revenue"/>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CA6358-905A-4C2D-86F4-BDE68EDC0E4B}"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6:A8" firstHeaderRow="1" firstDataRow="1" firstDataCol="1"/>
  <pivotFields count="1">
    <pivotField axis="axisRow" allDrilled="1" subtotalTop="0" showAll="0" dataSourceSort="1" defaultSubtotal="0" defaultAttributeDrillState="1">
      <items count="1">
        <item x="0"/>
      </items>
    </pivotField>
  </pivotFields>
  <rowFields count="1">
    <field x="0"/>
  </rowFields>
  <rowItems count="2">
    <i>
      <x/>
    </i>
    <i t="grand">
      <x/>
    </i>
  </rowItem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65F2B4B-2A2A-4D13-AF95-14BC8F940D10}" sourceName="[Table1].[Date (Month)]">
  <pivotTables>
    <pivotTable tabId="2" name="Revenue By Time of Day "/>
    <pivotTable tabId="2" name="PivotTable1"/>
    <pivotTable tabId="2" name="PivotTable13"/>
    <pivotTable tabId="2" name="PivotTable9"/>
    <pivotTable tabId="2" name="Revenue By Channel"/>
    <pivotTable tabId="2" name="Revenue By Customer Type"/>
    <pivotTable tabId="2" name="Revenue By Date"/>
    <pivotTable tabId="2" name="Top 10 Sales Rep By Sales"/>
    <pivotTable tabId="2" name="Total Channels"/>
    <pivotTable tabId="2" name="Total Orders"/>
    <pivotTable tabId="2" name="Total Revenue"/>
    <pivotTable tabId="2" name="Total Sales Reps"/>
  </pivotTables>
  <data>
    <olap pivotCacheId="1155849884">
      <levels count="2">
        <level uniqueName="[Table1].[Date (Month)].[(All)]" sourceCaption="(All)" count="0"/>
        <level uniqueName="[Table1].[Date (Month)].[Date (Month)]" sourceCaption="Date (Month)" count="12">
          <ranges>
            <range startItem="0">
              <i n="[Table1].[Date (Month)].&amp;[Jan]" c="Jan"/>
              <i n="[Table1].[Date (Month)].&amp;[Feb]" c="Feb"/>
              <i n="[Table1].[Date (Month)].&amp;[Mar]" c="Mar"/>
              <i n="[Table1].[Date (Month)].&amp;[Apr]" c="Apr"/>
              <i n="[Table1].[Date (Month)].&amp;[May]" c="May"/>
              <i n="[Table1].[Date (Month)].&amp;[Jun]" c="Jun"/>
              <i n="[Table1].[Date (Month)].&amp;[Jul]" c="Jul"/>
              <i n="[Table1].[Date (Month)].&amp;[Aug]" c="Aug"/>
              <i n="[Table1].[Date (Month)].&amp;[Sep]" c="Sep"/>
              <i n="[Table1].[Date (Month)].&amp;[Oct]" c="Oct"/>
              <i n="[Table1].[Date (Month)].&amp;[Nov]" c="Nov"/>
              <i n="[Table1].[Date (Month)].&amp;[Dec]" c="Dec"/>
            </range>
          </ranges>
        </level>
      </levels>
      <selections count="1">
        <selection n="[Table1].[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5A06A3B-49F6-4F0F-8FF9-96B4B75A0F14}" cache="Slicer_Date__Month" caption="Date (Month)" columnCount="2" level="1"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14E247E-D7E2-47E2-AAC6-594F7880937B}" cache="Slicer_Date__Month" caption="Date (Month)" columnCount="3" level="1" style="SlicerStyleDark2"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B9E655D-06EE-4478-87CB-A5D2CB3209FD}" sourceName="[Table1].[Date]">
  <pivotTables>
    <pivotTable tabId="2" name="Revenue By Date"/>
    <pivotTable tabId="2" name="PivotTable1"/>
    <pivotTable tabId="2" name="PivotTable13"/>
    <pivotTable tabId="2" name="PivotTable9"/>
    <pivotTable tabId="2" name="Revenue By Channel"/>
    <pivotTable tabId="2" name="Revenue By Customer Type"/>
    <pivotTable tabId="2" name="Revenue By Time of Day "/>
    <pivotTable tabId="2" name="Top 10 Sales Rep By Sales"/>
    <pivotTable tabId="2" name="Total Channels"/>
    <pivotTable tabId="2" name="Total Orders"/>
    <pivotTable tabId="2" name="Total Revenue"/>
    <pivotTable tabId="2" name="Total Sales Reps"/>
  </pivotTables>
  <state minimalRefreshVersion="6" lastRefreshVersion="6" pivotCacheId="123317992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6EA97C6-D57B-46B8-85D8-85FB29E6E56D}" cache="Timeline_Date" caption="Date" level="2" selectionLevel="2" scrollPosition="2023-06-06T00:00:00" style="TimeSlicerStyleDark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0A9BF-FBD3-488B-BC4B-19D9F94B6B32}">
  <dimension ref="A6:I242"/>
  <sheetViews>
    <sheetView topLeftCell="A212" workbookViewId="0">
      <selection activeCell="A241" sqref="A241"/>
    </sheetView>
  </sheetViews>
  <sheetFormatPr defaultRowHeight="14.4" x14ac:dyDescent="0.3"/>
  <cols>
    <col min="1" max="1" width="12.5546875" bestFit="1" customWidth="1"/>
    <col min="2" max="2" width="14.88671875" bestFit="1" customWidth="1"/>
    <col min="3" max="3" width="11.21875" bestFit="1" customWidth="1"/>
    <col min="4" max="4" width="9.109375" bestFit="1" customWidth="1"/>
    <col min="5" max="5" width="14.44140625" bestFit="1" customWidth="1"/>
    <col min="6" max="6" width="9.109375" bestFit="1" customWidth="1"/>
    <col min="7" max="7" width="13.44140625" bestFit="1" customWidth="1"/>
    <col min="8" max="8" width="8.77734375" bestFit="1" customWidth="1"/>
    <col min="9" max="9" width="13.109375" bestFit="1" customWidth="1"/>
    <col min="10" max="10" width="9.109375" bestFit="1" customWidth="1"/>
    <col min="11" max="32" width="9.77734375" bestFit="1" customWidth="1"/>
    <col min="33" max="34" width="9.109375" bestFit="1" customWidth="1"/>
    <col min="35" max="35" width="8.77734375" bestFit="1" customWidth="1"/>
    <col min="36" max="39" width="9.109375" bestFit="1" customWidth="1"/>
    <col min="40" max="40" width="8.77734375" bestFit="1" customWidth="1"/>
    <col min="41" max="41" width="9.109375" bestFit="1" customWidth="1"/>
    <col min="42" max="60" width="9.77734375" bestFit="1" customWidth="1"/>
    <col min="61" max="62" width="9.109375" bestFit="1" customWidth="1"/>
    <col min="63" max="63" width="8.77734375" bestFit="1" customWidth="1"/>
    <col min="64" max="65" width="9.109375" bestFit="1" customWidth="1"/>
    <col min="66" max="66" width="8.77734375" bestFit="1" customWidth="1"/>
    <col min="67" max="68" width="9.109375" bestFit="1" customWidth="1"/>
    <col min="69" max="69" width="8.77734375" bestFit="1" customWidth="1"/>
    <col min="70" max="91" width="9.77734375" bestFit="1" customWidth="1"/>
    <col min="92" max="94" width="9.109375" bestFit="1" customWidth="1"/>
    <col min="95" max="95" width="8.77734375" bestFit="1" customWidth="1"/>
    <col min="96" max="97" width="9.109375" bestFit="1" customWidth="1"/>
    <col min="98" max="99" width="8.77734375" bestFit="1" customWidth="1"/>
    <col min="100" max="100" width="9.109375" bestFit="1" customWidth="1"/>
    <col min="101" max="121" width="9.77734375" bestFit="1" customWidth="1"/>
    <col min="122" max="126" width="9.109375" bestFit="1" customWidth="1"/>
    <col min="127" max="127" width="8.77734375" bestFit="1" customWidth="1"/>
    <col min="128" max="128" width="9.109375" bestFit="1" customWidth="1"/>
    <col min="129" max="130" width="8.77734375" bestFit="1" customWidth="1"/>
    <col min="131" max="152" width="9.77734375" bestFit="1" customWidth="1"/>
    <col min="153" max="158" width="9.109375" bestFit="1" customWidth="1"/>
    <col min="159" max="159" width="8.77734375" bestFit="1" customWidth="1"/>
    <col min="160" max="160" width="9.109375" bestFit="1" customWidth="1"/>
    <col min="161" max="161" width="8.77734375" bestFit="1" customWidth="1"/>
    <col min="162" max="182" width="9.77734375" bestFit="1" customWidth="1"/>
    <col min="183" max="187" width="9.109375" bestFit="1" customWidth="1"/>
    <col min="188" max="188" width="8.77734375" bestFit="1" customWidth="1"/>
    <col min="189" max="189" width="9.109375" bestFit="1" customWidth="1"/>
    <col min="190" max="191" width="8.77734375" bestFit="1" customWidth="1"/>
    <col min="192" max="213" width="9.77734375" bestFit="1" customWidth="1"/>
    <col min="214" max="216" width="8.77734375" bestFit="1" customWidth="1"/>
    <col min="217" max="220" width="9.109375" bestFit="1" customWidth="1"/>
    <col min="221" max="221" width="8.77734375" bestFit="1" customWidth="1"/>
    <col min="222" max="222" width="9.109375" bestFit="1" customWidth="1"/>
    <col min="223" max="244" width="9.77734375" bestFit="1" customWidth="1"/>
    <col min="245" max="245" width="8.77734375" bestFit="1" customWidth="1"/>
    <col min="246" max="248" width="9.109375" bestFit="1" customWidth="1"/>
    <col min="249" max="249" width="8.77734375" bestFit="1" customWidth="1"/>
    <col min="250" max="253" width="9.109375" bestFit="1" customWidth="1"/>
    <col min="254" max="283" width="9.77734375" bestFit="1" customWidth="1"/>
    <col min="284" max="305" width="10.77734375" bestFit="1" customWidth="1"/>
    <col min="306" max="314" width="9.77734375" bestFit="1" customWidth="1"/>
    <col min="315" max="335" width="10.77734375" bestFit="1" customWidth="1"/>
    <col min="336" max="344" width="9.77734375" bestFit="1" customWidth="1"/>
    <col min="345" max="366" width="10.77734375" bestFit="1" customWidth="1"/>
    <col min="367" max="367" width="11.109375" bestFit="1" customWidth="1"/>
  </cols>
  <sheetData>
    <row r="6" spans="1:9" x14ac:dyDescent="0.3">
      <c r="A6" s="2" t="s">
        <v>20</v>
      </c>
      <c r="C6" t="s">
        <v>22</v>
      </c>
      <c r="E6" t="s">
        <v>38</v>
      </c>
      <c r="G6" t="s">
        <v>23</v>
      </c>
      <c r="I6" t="s">
        <v>25</v>
      </c>
    </row>
    <row r="7" spans="1:9" x14ac:dyDescent="0.3">
      <c r="A7" s="3" t="s">
        <v>3</v>
      </c>
      <c r="C7" s="1">
        <v>2000</v>
      </c>
      <c r="E7" s="1">
        <v>1962</v>
      </c>
      <c r="G7" s="1">
        <v>6</v>
      </c>
      <c r="I7" s="4">
        <v>505838.78</v>
      </c>
    </row>
    <row r="8" spans="1:9" x14ac:dyDescent="0.3">
      <c r="A8" s="3" t="s">
        <v>21</v>
      </c>
    </row>
    <row r="28" spans="1:1" x14ac:dyDescent="0.3">
      <c r="A28" t="s">
        <v>25</v>
      </c>
    </row>
    <row r="29" spans="1:1" x14ac:dyDescent="0.3">
      <c r="A29" s="4">
        <v>505838.78</v>
      </c>
    </row>
    <row r="36" spans="1:2" x14ac:dyDescent="0.3">
      <c r="A36" s="2" t="s">
        <v>20</v>
      </c>
      <c r="B36" t="s">
        <v>25</v>
      </c>
    </row>
    <row r="37" spans="1:2" x14ac:dyDescent="0.3">
      <c r="A37" s="3" t="s">
        <v>16</v>
      </c>
      <c r="B37" s="4">
        <v>636</v>
      </c>
    </row>
    <row r="38" spans="1:2" x14ac:dyDescent="0.3">
      <c r="A38" s="3" t="s">
        <v>19</v>
      </c>
      <c r="B38" s="4">
        <v>655.9</v>
      </c>
    </row>
    <row r="39" spans="1:2" x14ac:dyDescent="0.3">
      <c r="A39" s="3" t="s">
        <v>15</v>
      </c>
      <c r="B39" s="4">
        <v>669.04</v>
      </c>
    </row>
    <row r="40" spans="1:2" x14ac:dyDescent="0.3">
      <c r="A40" s="3" t="s">
        <v>18</v>
      </c>
      <c r="B40" s="4">
        <v>679.56</v>
      </c>
    </row>
    <row r="41" spans="1:2" x14ac:dyDescent="0.3">
      <c r="A41" s="3" t="s">
        <v>17</v>
      </c>
      <c r="B41" s="4">
        <v>681.62</v>
      </c>
    </row>
    <row r="42" spans="1:2" x14ac:dyDescent="0.3">
      <c r="A42" s="3" t="s">
        <v>14</v>
      </c>
      <c r="B42" s="4">
        <v>745.64</v>
      </c>
    </row>
    <row r="43" spans="1:2" x14ac:dyDescent="0.3">
      <c r="A43" s="3" t="s">
        <v>13</v>
      </c>
      <c r="B43" s="4">
        <v>932.13</v>
      </c>
    </row>
    <row r="44" spans="1:2" x14ac:dyDescent="0.3">
      <c r="A44" s="3" t="s">
        <v>21</v>
      </c>
      <c r="B44" s="4">
        <v>4999.8900000000003</v>
      </c>
    </row>
    <row r="70" spans="1:2" x14ac:dyDescent="0.3">
      <c r="A70" s="2" t="s">
        <v>20</v>
      </c>
      <c r="B70" t="s">
        <v>25</v>
      </c>
    </row>
    <row r="71" spans="1:2" x14ac:dyDescent="0.3">
      <c r="A71" s="3" t="s">
        <v>8</v>
      </c>
      <c r="B71" s="4">
        <v>90237.759999999995</v>
      </c>
    </row>
    <row r="72" spans="1:2" x14ac:dyDescent="0.3">
      <c r="A72" s="3" t="s">
        <v>10</v>
      </c>
      <c r="B72" s="4">
        <v>85314.71</v>
      </c>
    </row>
    <row r="73" spans="1:2" x14ac:dyDescent="0.3">
      <c r="A73" s="3" t="s">
        <v>5</v>
      </c>
      <c r="B73" s="4">
        <v>84353.88</v>
      </c>
    </row>
    <row r="74" spans="1:2" x14ac:dyDescent="0.3">
      <c r="A74" s="3" t="s">
        <v>1</v>
      </c>
      <c r="B74" s="4">
        <v>83149.070000000007</v>
      </c>
    </row>
    <row r="75" spans="1:2" x14ac:dyDescent="0.3">
      <c r="A75" s="3" t="s">
        <v>9</v>
      </c>
      <c r="B75" s="4">
        <v>81681.94</v>
      </c>
    </row>
    <row r="76" spans="1:2" x14ac:dyDescent="0.3">
      <c r="A76" s="3" t="s">
        <v>11</v>
      </c>
      <c r="B76" s="4">
        <v>81101.42</v>
      </c>
    </row>
    <row r="77" spans="1:2" x14ac:dyDescent="0.3">
      <c r="A77" s="3" t="s">
        <v>21</v>
      </c>
      <c r="B77" s="4">
        <v>505838.78</v>
      </c>
    </row>
    <row r="92" spans="1:2" x14ac:dyDescent="0.3">
      <c r="A92" s="2" t="s">
        <v>20</v>
      </c>
      <c r="B92" t="s">
        <v>25</v>
      </c>
    </row>
    <row r="93" spans="1:2" x14ac:dyDescent="0.3">
      <c r="A93" s="3" t="s">
        <v>6</v>
      </c>
      <c r="B93" s="4">
        <v>258764.09</v>
      </c>
    </row>
    <row r="94" spans="1:2" x14ac:dyDescent="0.3">
      <c r="A94" s="3" t="s">
        <v>2</v>
      </c>
      <c r="B94" s="4">
        <v>247074.69</v>
      </c>
    </row>
    <row r="95" spans="1:2" x14ac:dyDescent="0.3">
      <c r="A95" s="3" t="s">
        <v>21</v>
      </c>
      <c r="B95" s="4">
        <v>505838.78</v>
      </c>
    </row>
    <row r="111" spans="1:2" x14ac:dyDescent="0.3">
      <c r="A111" s="2" t="s">
        <v>20</v>
      </c>
      <c r="B111" t="s">
        <v>25</v>
      </c>
    </row>
    <row r="112" spans="1:2" x14ac:dyDescent="0.3">
      <c r="A112" s="3" t="s">
        <v>12</v>
      </c>
      <c r="B112" s="4">
        <v>132390.09</v>
      </c>
    </row>
    <row r="113" spans="1:2" x14ac:dyDescent="0.3">
      <c r="A113" s="3" t="s">
        <v>4</v>
      </c>
      <c r="B113" s="4">
        <v>125655.97</v>
      </c>
    </row>
    <row r="114" spans="1:2" x14ac:dyDescent="0.3">
      <c r="A114" s="3" t="s">
        <v>0</v>
      </c>
      <c r="B114" s="4">
        <v>124922.26</v>
      </c>
    </row>
    <row r="115" spans="1:2" x14ac:dyDescent="0.3">
      <c r="A115" s="3" t="s">
        <v>7</v>
      </c>
      <c r="B115" s="4">
        <v>122870.46</v>
      </c>
    </row>
    <row r="116" spans="1:2" x14ac:dyDescent="0.3">
      <c r="A116" s="3" t="s">
        <v>21</v>
      </c>
      <c r="B116" s="4">
        <v>505838.78</v>
      </c>
    </row>
    <row r="126" spans="1:2" x14ac:dyDescent="0.3">
      <c r="A126" t="s">
        <v>25</v>
      </c>
    </row>
    <row r="127" spans="1:2" x14ac:dyDescent="0.3">
      <c r="A127" s="4">
        <v>505838.78</v>
      </c>
    </row>
    <row r="229" spans="1:2" x14ac:dyDescent="0.3">
      <c r="A229" s="2" t="s">
        <v>20</v>
      </c>
      <c r="B229" t="s">
        <v>24</v>
      </c>
    </row>
    <row r="230" spans="1:2" x14ac:dyDescent="0.3">
      <c r="A230" s="3" t="s">
        <v>26</v>
      </c>
      <c r="B230" s="4">
        <v>43123.69</v>
      </c>
    </row>
    <row r="231" spans="1:2" x14ac:dyDescent="0.3">
      <c r="A231" s="3" t="s">
        <v>27</v>
      </c>
      <c r="B231" s="4">
        <v>40656.49</v>
      </c>
    </row>
    <row r="232" spans="1:2" x14ac:dyDescent="0.3">
      <c r="A232" s="3" t="s">
        <v>28</v>
      </c>
      <c r="B232" s="4">
        <v>46685.54</v>
      </c>
    </row>
    <row r="233" spans="1:2" x14ac:dyDescent="0.3">
      <c r="A233" s="3" t="s">
        <v>29</v>
      </c>
      <c r="B233" s="4">
        <v>38563.370000000003</v>
      </c>
    </row>
    <row r="234" spans="1:2" x14ac:dyDescent="0.3">
      <c r="A234" s="3" t="s">
        <v>30</v>
      </c>
      <c r="B234" s="4">
        <v>39533.31</v>
      </c>
    </row>
    <row r="235" spans="1:2" x14ac:dyDescent="0.3">
      <c r="A235" s="3" t="s">
        <v>31</v>
      </c>
      <c r="B235" s="4">
        <v>39684.910000000003</v>
      </c>
    </row>
    <row r="236" spans="1:2" x14ac:dyDescent="0.3">
      <c r="A236" s="3" t="s">
        <v>32</v>
      </c>
      <c r="B236" s="4">
        <v>38321.879999999997</v>
      </c>
    </row>
    <row r="237" spans="1:2" x14ac:dyDescent="0.3">
      <c r="A237" s="3" t="s">
        <v>33</v>
      </c>
      <c r="B237" s="4">
        <v>44465.38</v>
      </c>
    </row>
    <row r="238" spans="1:2" x14ac:dyDescent="0.3">
      <c r="A238" s="3" t="s">
        <v>34</v>
      </c>
      <c r="B238" s="4">
        <v>43611.43</v>
      </c>
    </row>
    <row r="239" spans="1:2" x14ac:dyDescent="0.3">
      <c r="A239" s="3" t="s">
        <v>35</v>
      </c>
      <c r="B239" s="4">
        <v>52158.66</v>
      </c>
    </row>
    <row r="240" spans="1:2" x14ac:dyDescent="0.3">
      <c r="A240" s="3" t="s">
        <v>36</v>
      </c>
      <c r="B240" s="4">
        <v>43402</v>
      </c>
    </row>
    <row r="241" spans="1:2" x14ac:dyDescent="0.3">
      <c r="A241" s="3" t="s">
        <v>37</v>
      </c>
      <c r="B241" s="4">
        <v>35632.120000000003</v>
      </c>
    </row>
    <row r="242" spans="1:2" x14ac:dyDescent="0.3">
      <c r="A242" s="3" t="s">
        <v>21</v>
      </c>
      <c r="B242" s="4">
        <v>505838.78</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70" zoomScaleNormal="70" workbookViewId="0">
      <selection activeCell="AB19" sqref="AB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2A259F-D75D-4ED2-986D-CFA985D126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Hadiir</dc:creator>
  <cp:lastModifiedBy>Hadir Mourad</cp:lastModifiedBy>
  <dcterms:created xsi:type="dcterms:W3CDTF">2025-07-21T09:59:32Z</dcterms:created>
  <dcterms:modified xsi:type="dcterms:W3CDTF">2025-11-28T12:24:29Z</dcterms:modified>
</cp:coreProperties>
</file>