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ITI DA\a5 Freelancing\6 Excel\A Projects\"/>
    </mc:Choice>
  </mc:AlternateContent>
  <xr:revisionPtr revIDLastSave="0" documentId="13_ncr:1_{221137FE-A240-4680-9162-788C77101523}" xr6:coauthVersionLast="47" xr6:coauthVersionMax="47" xr10:uidLastSave="{00000000-0000-0000-0000-000000000000}"/>
  <bookViews>
    <workbookView xWindow="-108" yWindow="-108" windowWidth="23256" windowHeight="12456" activeTab="1" xr2:uid="{00000000-000D-0000-FFFF-FFFF00000000}"/>
  </bookViews>
  <sheets>
    <sheet name="Table1" sheetId="2" r:id="rId1"/>
    <sheet name="Dashboard" sheetId="1" r:id="rId2"/>
  </sheets>
  <definedNames>
    <definedName name="Slicer_Category">#N/A</definedName>
    <definedName name="Slicer_Date__Month">#N/A</definedName>
    <definedName name="Slicer_Product">#N/A</definedName>
  </definedNames>
  <calcPr calcId="191029"/>
  <pivotCaches>
    <pivotCache cacheId="491" r:id="rId3"/>
    <pivotCache cacheId="494" r:id="rId4"/>
    <pivotCache cacheId="497" r:id="rId5"/>
    <pivotCache cacheId="500" r:id="rId6"/>
    <pivotCache cacheId="503" r:id="rId7"/>
    <pivotCache cacheId="506" r:id="rId8"/>
    <pivotCache cacheId="509" r:id="rId9"/>
    <pivotCache cacheId="512" r:id="rId10"/>
    <pivotCache cacheId="515" r:id="rId11"/>
    <pivotCache cacheId="518" r:id="rId12"/>
    <pivotCache cacheId="521" r:id="rId13"/>
    <pivotCache cacheId="524" r:id="rId14"/>
    <pivotCache cacheId="527" r:id="rId15"/>
    <pivotCache cacheId="530" r:id="rId16"/>
  </pivotCaches>
  <extLst>
    <ext xmlns:x14="http://schemas.microsoft.com/office/spreadsheetml/2009/9/main" uri="{876F7934-8845-4945-9796-88D515C7AA90}">
      <x14:pivotCaches>
        <pivotCache cacheId="200"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40d26d63-a783-40c8-ac65-264dee9c80d8" name="Table1" connection="Query - 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66D8B3-2F79-4A80-8B91-B0F395462814}" name="Query - Table1" description="Connection to the 'Table1' query in the workbook." type="100" refreshedVersion="7" minRefreshableVersion="5">
    <extLst>
      <ext xmlns:x15="http://schemas.microsoft.com/office/spreadsheetml/2010/11/main" uri="{DE250136-89BD-433C-8126-D09CA5730AF9}">
        <x15:connection id="745f05d4-7bcb-477f-90ee-d3f822d06217"/>
      </ext>
    </extLst>
  </connection>
  <connection id="2" xr16:uid="{B4AAD265-E496-437A-9180-247117157F6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<sst xmlns="http://schemas.openxmlformats.org/spreadsheetml/2006/main" count="105" uniqueCount="50">
  <si>
    <t>Autumn</t>
  </si>
  <si>
    <t>Accessories</t>
  </si>
  <si>
    <t>Accessories B</t>
  </si>
  <si>
    <t>In-Store</t>
  </si>
  <si>
    <t>New</t>
  </si>
  <si>
    <t>Summer</t>
  </si>
  <si>
    <t>Accessories D</t>
  </si>
  <si>
    <t>Spring</t>
  </si>
  <si>
    <t>Bottoms</t>
  </si>
  <si>
    <t>Bottoms B</t>
  </si>
  <si>
    <t>Online</t>
  </si>
  <si>
    <t>Bottoms D</t>
  </si>
  <si>
    <t>Tops</t>
  </si>
  <si>
    <t>Tops C</t>
  </si>
  <si>
    <t>Returning</t>
  </si>
  <si>
    <t>Winter</t>
  </si>
  <si>
    <t>Accessories C</t>
  </si>
  <si>
    <t>Dresses</t>
  </si>
  <si>
    <t>Dresses D</t>
  </si>
  <si>
    <t>Dresses C</t>
  </si>
  <si>
    <t>Dresses B</t>
  </si>
  <si>
    <t>Tops A</t>
  </si>
  <si>
    <t>Bottoms A</t>
  </si>
  <si>
    <t>Tops B</t>
  </si>
  <si>
    <t>Dresses A</t>
  </si>
  <si>
    <t>Accessories A</t>
  </si>
  <si>
    <t>Tops D</t>
  </si>
  <si>
    <t>Bottoms C</t>
  </si>
  <si>
    <t>Total Revenue</t>
  </si>
  <si>
    <t>Row Labels</t>
  </si>
  <si>
    <t>Grand Total</t>
  </si>
  <si>
    <t>Total Profit</t>
  </si>
  <si>
    <t>Total Cost</t>
  </si>
  <si>
    <t>Total Sold Units</t>
  </si>
  <si>
    <t>Total Categories</t>
  </si>
  <si>
    <t>Total Products</t>
  </si>
  <si>
    <t>Jan</t>
  </si>
  <si>
    <t>Feb</t>
  </si>
  <si>
    <t>Mar</t>
  </si>
  <si>
    <t>Apr</t>
  </si>
  <si>
    <t>May</t>
  </si>
  <si>
    <t>Jun</t>
  </si>
  <si>
    <t>Jul</t>
  </si>
  <si>
    <t>Aug</t>
  </si>
  <si>
    <t>Sep</t>
  </si>
  <si>
    <t>Oct</t>
  </si>
  <si>
    <t>Nov</t>
  </si>
  <si>
    <t>Dec</t>
  </si>
  <si>
    <t>Units Sold</t>
  </si>
  <si>
    <t>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</si>
</sst>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
    <dxf>
      <font>
        <u val="none"/>
        <color theme="4" tint="-0.24994659260841701"/>
        <name val="Calibri"/>
        <family val="2"/>
        <scheme val="minor"/>
      </font>
    </dxf>
  </dxfs>
  <tableStyles count="1" defaultTableStyle="TableStyleMedium2" defaultPivotStyle="PivotStyleLight16">
    <tableStyle name="Slicer Style 1" pivot="0" table="0" count="1" xr9:uid="{46E8A423-9AB0-4DC1-8B92-D2D63E1BE9D5}">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pivotCacheDefinition" Target="pivotCache/pivotCacheDefinition1.xml"/><Relationship Id="rId21" Type="http://schemas.openxmlformats.org/officeDocument/2006/relationships/theme" Target="theme/theme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sharedStrings" Target="sharedStrings.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styles" Target="styles.xml"/><Relationship Id="rId10" Type="http://schemas.openxmlformats.org/officeDocument/2006/relationships/pivotCacheDefinition" Target="pivotCache/pivotCacheDefinition8.xml"/><Relationship Id="rId19" Type="http://schemas.microsoft.com/office/2007/relationships/slicerCache" Target="slicerCaches/slicerCache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[Chic Boutiqe Apparel1.xlsx]Table1!PivotTable2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1">
                    <a:lumMod val="75000"/>
                  </a:schemeClr>
                </a:solidFill>
              </a:rPr>
              <a:t>Total 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Table1!$C$10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Table1!$B$11:$B$27</c:f>
              <c:strCache>
                <c:ptCount val="16"/>
                <c:pt idx="0">
                  <c:v>Dresses C</c:v>
                </c:pt>
                <c:pt idx="1">
                  <c:v>Dresses A</c:v>
                </c:pt>
                <c:pt idx="2">
                  <c:v>Dresses B</c:v>
                </c:pt>
                <c:pt idx="3">
                  <c:v>Accessories D</c:v>
                </c:pt>
                <c:pt idx="4">
                  <c:v>Bottoms B</c:v>
                </c:pt>
                <c:pt idx="5">
                  <c:v>Accessories A</c:v>
                </c:pt>
                <c:pt idx="6">
                  <c:v>Tops D</c:v>
                </c:pt>
                <c:pt idx="7">
                  <c:v>Tops C</c:v>
                </c:pt>
                <c:pt idx="8">
                  <c:v>Dresses D</c:v>
                </c:pt>
                <c:pt idx="9">
                  <c:v>Tops B</c:v>
                </c:pt>
                <c:pt idx="10">
                  <c:v>Tops A</c:v>
                </c:pt>
                <c:pt idx="11">
                  <c:v>Bottoms A</c:v>
                </c:pt>
                <c:pt idx="12">
                  <c:v>Bottoms C</c:v>
                </c:pt>
                <c:pt idx="13">
                  <c:v>Accessories B</c:v>
                </c:pt>
                <c:pt idx="14">
                  <c:v>Accessories C</c:v>
                </c:pt>
                <c:pt idx="15">
                  <c:v>Bottoms D</c:v>
                </c:pt>
              </c:strCache>
            </c:strRef>
          </c:cat>
          <c:val>
            <c:numRef>
              <c:f>Table1!$C$11:$C$27</c:f>
              <c:numCache>
                <c:formatCode>\$#,##0.00;\(\$#,##0.00\);\$#,##0.00</c:formatCode>
                <c:ptCount val="16"/>
                <c:pt idx="0">
                  <c:v>114753.71</c:v>
                </c:pt>
                <c:pt idx="1">
                  <c:v>116202.55</c:v>
                </c:pt>
                <c:pt idx="2">
                  <c:v>118207.2</c:v>
                </c:pt>
                <c:pt idx="3">
                  <c:v>118773.12</c:v>
                </c:pt>
                <c:pt idx="4">
                  <c:v>126170.54</c:v>
                </c:pt>
                <c:pt idx="5">
                  <c:v>127518.19</c:v>
                </c:pt>
                <c:pt idx="6">
                  <c:v>129334.01</c:v>
                </c:pt>
                <c:pt idx="7">
                  <c:v>129797.7</c:v>
                </c:pt>
                <c:pt idx="8">
                  <c:v>135719.9</c:v>
                </c:pt>
                <c:pt idx="9">
                  <c:v>136918.32999999999</c:v>
                </c:pt>
                <c:pt idx="10">
                  <c:v>140357.10999999999</c:v>
                </c:pt>
                <c:pt idx="11">
                  <c:v>141274.65</c:v>
                </c:pt>
                <c:pt idx="12">
                  <c:v>143763.88</c:v>
                </c:pt>
                <c:pt idx="13">
                  <c:v>144690.04999999999</c:v>
                </c:pt>
                <c:pt idx="14">
                  <c:v>148769.22</c:v>
                </c:pt>
                <c:pt idx="15">
                  <c:v>153634.39000000001</c:v>
                </c:pt>
              </c:numCache>
            </c:numRef>
          </c:val>
          <c:extLst>
            <c:ext xmlns:c16="http://schemas.microsoft.com/office/drawing/2014/chart" uri="{C3380CC4-5D6E-409C-BE32-E72D297353CC}">
              <c16:uniqueId val="{00000000-453F-4F95-966E-2E18106672D1}"/>
            </c:ext>
          </c:extLst>
        </c:ser>
        <c:dLbls>
          <c:dLblPos val="outEnd"/>
          <c:showLegendKey val="0"/>
          <c:showVal val="1"/>
          <c:showCatName val="0"/>
          <c:showSerName val="0"/>
          <c:showPercent val="0"/>
          <c:showBubbleSize val="0"/>
        </c:dLbls>
        <c:gapWidth val="100"/>
        <c:axId val="981354256"/>
        <c:axId val="981367704"/>
      </c:barChart>
      <c:catAx>
        <c:axId val="9813542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crossAx val="981367704"/>
        <c:crosses val="autoZero"/>
        <c:auto val="1"/>
        <c:lblAlgn val="ctr"/>
        <c:lblOffset val="100"/>
        <c:noMultiLvlLbl val="0"/>
      </c:catAx>
      <c:valAx>
        <c:axId val="981367704"/>
        <c:scaling>
          <c:orientation val="minMax"/>
        </c:scaling>
        <c:delete val="1"/>
        <c:axPos val="b"/>
        <c:numFmt formatCode="\$#,##0.00;\(\$#,##0.00\);\$#,##0.00" sourceLinked="1"/>
        <c:majorTickMark val="none"/>
        <c:minorTickMark val="none"/>
        <c:tickLblPos val="nextTo"/>
        <c:crossAx val="98135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2700000" algn="tl" rotWithShape="0">
        <a:schemeClr val="accent1">
          <a:lumMod val="40000"/>
          <a:lumOff val="6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[Chic Boutiqe Apparel1.xlsx]Table1!PivotTable3</c:name>
    <c:fmtId val="0"/>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US" sz="1600">
                <a:solidFill>
                  <a:schemeClr val="accent1">
                    <a:lumMod val="75000"/>
                  </a:schemeClr>
                </a:solidFill>
              </a:rPr>
              <a:t>Total Revenue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399267399267399"/>
              <c:y val="-5.56398583712695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91223212483052"/>
                  <c:h val="0.26211431461810825"/>
                </c:manualLayout>
              </c15:layout>
            </c:ext>
          </c:extLst>
        </c:dLbl>
      </c:pivotFmt>
      <c:pivotFmt>
        <c:idx val="2"/>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849816849816834"/>
              <c:y val="9.10470409711684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1175824175824176"/>
                  <c:h val="0.26211431461810825"/>
                </c:manualLayout>
              </c15:layout>
            </c:ext>
          </c:extLst>
        </c:dLbl>
      </c:pivotFmt>
      <c:pivotFmt>
        <c:idx val="3"/>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3186813186813187"/>
              <c:y val="0.101163378856853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373626373626374"/>
                  <c:h val="0.26211431461810825"/>
                </c:manualLayout>
              </c15:layout>
            </c:ext>
          </c:extLst>
        </c:dLbl>
      </c:pivotFmt>
      <c:pivotFmt>
        <c:idx val="4"/>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666652245392402"/>
              <c:y val="-4.04653515427415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74725274725271"/>
                  <c:h val="0.26211431461810825"/>
                </c:manualLayout>
              </c15:layout>
            </c:ext>
          </c:extLst>
        </c:dLbl>
      </c:pivotFmt>
    </c:pivotFmts>
    <c:plotArea>
      <c:layout/>
      <c:doughnutChart>
        <c:varyColors val="1"/>
        <c:ser>
          <c:idx val="0"/>
          <c:order val="0"/>
          <c:tx>
            <c:strRef>
              <c:f>Table1!$C$37</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A932-47DF-8412-5BFD0BB49BB9}"/>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932-47DF-8412-5BFD0BB49BB9}"/>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A932-47DF-8412-5BFD0BB49BB9}"/>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932-47DF-8412-5BFD0BB49BB9}"/>
              </c:ext>
            </c:extLst>
          </c:dPt>
          <c:dLbls>
            <c:dLbl>
              <c:idx val="0"/>
              <c:layout>
                <c:manualLayout>
                  <c:x val="0.17399267399267399"/>
                  <c:y val="-5.56398583712695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91223212483052"/>
                      <c:h val="0.26211431461810825"/>
                    </c:manualLayout>
                  </c15:layout>
                </c:ext>
                <c:ext xmlns:c16="http://schemas.microsoft.com/office/drawing/2014/chart" uri="{C3380CC4-5D6E-409C-BE32-E72D297353CC}">
                  <c16:uniqueId val="{00000002-A932-47DF-8412-5BFD0BB49BB9}"/>
                </c:ext>
              </c:extLst>
            </c:dLbl>
            <c:dLbl>
              <c:idx val="1"/>
              <c:layout>
                <c:manualLayout>
                  <c:x val="0.16849816849816834"/>
                  <c:y val="9.10470409711684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1175824175824176"/>
                      <c:h val="0.26211431461810825"/>
                    </c:manualLayout>
                  </c15:layout>
                </c:ext>
                <c:ext xmlns:c16="http://schemas.microsoft.com/office/drawing/2014/chart" uri="{C3380CC4-5D6E-409C-BE32-E72D297353CC}">
                  <c16:uniqueId val="{00000003-A932-47DF-8412-5BFD0BB49BB9}"/>
                </c:ext>
              </c:extLst>
            </c:dLbl>
            <c:dLbl>
              <c:idx val="2"/>
              <c:layout>
                <c:manualLayout>
                  <c:x val="-0.13186813186813187"/>
                  <c:y val="0.101163378856853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373626373626374"/>
                      <c:h val="0.26211431461810825"/>
                    </c:manualLayout>
                  </c15:layout>
                </c:ext>
                <c:ext xmlns:c16="http://schemas.microsoft.com/office/drawing/2014/chart" uri="{C3380CC4-5D6E-409C-BE32-E72D297353CC}">
                  <c16:uniqueId val="{00000004-A932-47DF-8412-5BFD0BB49BB9}"/>
                </c:ext>
              </c:extLst>
            </c:dLbl>
            <c:dLbl>
              <c:idx val="3"/>
              <c:layout>
                <c:manualLayout>
                  <c:x val="-0.16666652245392402"/>
                  <c:y val="-4.04653515427415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74725274725271"/>
                      <c:h val="0.26211431461810825"/>
                    </c:manualLayout>
                  </c15:layout>
                </c:ext>
                <c:ext xmlns:c16="http://schemas.microsoft.com/office/drawing/2014/chart" uri="{C3380CC4-5D6E-409C-BE32-E72D297353CC}">
                  <c16:uniqueId val="{00000005-A932-47DF-8412-5BFD0BB49BB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Table1!$B$38:$B$42</c:f>
              <c:strCache>
                <c:ptCount val="4"/>
                <c:pt idx="0">
                  <c:v>Accessories</c:v>
                </c:pt>
                <c:pt idx="1">
                  <c:v>Bottoms</c:v>
                </c:pt>
                <c:pt idx="2">
                  <c:v>Dresses</c:v>
                </c:pt>
                <c:pt idx="3">
                  <c:v>Tops</c:v>
                </c:pt>
              </c:strCache>
            </c:strRef>
          </c:cat>
          <c:val>
            <c:numRef>
              <c:f>Table1!$C$38:$C$42</c:f>
              <c:numCache>
                <c:formatCode>\$#,##0.00;\(\$#,##0.00\);\$#,##0.00</c:formatCode>
                <c:ptCount val="4"/>
                <c:pt idx="0">
                  <c:v>539750.57999999996</c:v>
                </c:pt>
                <c:pt idx="1">
                  <c:v>564843.46</c:v>
                </c:pt>
                <c:pt idx="2">
                  <c:v>484883.36</c:v>
                </c:pt>
                <c:pt idx="3">
                  <c:v>536407.15</c:v>
                </c:pt>
              </c:numCache>
            </c:numRef>
          </c:val>
          <c:extLst>
            <c:ext xmlns:c16="http://schemas.microsoft.com/office/drawing/2014/chart" uri="{C3380CC4-5D6E-409C-BE32-E72D297353CC}">
              <c16:uniqueId val="{00000000-A932-47DF-8412-5BFD0BB49BB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2700000" algn="tl" rotWithShape="0">
        <a:schemeClr val="accent1">
          <a:lumMod val="40000"/>
          <a:lumOff val="60000"/>
          <a:alpha val="40000"/>
        </a:schemeClr>
      </a:outerShdw>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[Chic Boutiqe Apparel1.xlsx]Table1!PivotTable4</c:name>
    <c:fmtId val="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solidFill>
                  <a:schemeClr val="accent1">
                    <a:lumMod val="75000"/>
                  </a:schemeClr>
                </a:solidFill>
              </a:rPr>
              <a:t>TOTAL REVENUE BY SEASON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s>
    <c:plotArea>
      <c:layout/>
      <c:barChart>
        <c:barDir val="col"/>
        <c:grouping val="clustered"/>
        <c:varyColors val="0"/>
        <c:ser>
          <c:idx val="0"/>
          <c:order val="0"/>
          <c:tx>
            <c:strRef>
              <c:f>Table1!$C$54</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45CA-4051-990F-B9550B4F66C1}"/>
              </c:ext>
            </c:extLst>
          </c:dPt>
          <c:dPt>
            <c:idx val="1"/>
            <c:invertIfNegative val="0"/>
            <c:bubble3D val="0"/>
            <c:extLst>
              <c:ext xmlns:c16="http://schemas.microsoft.com/office/drawing/2014/chart" uri="{C3380CC4-5D6E-409C-BE32-E72D297353CC}">
                <c16:uniqueId val="{00000003-45CA-4051-990F-B9550B4F66C1}"/>
              </c:ext>
            </c:extLst>
          </c:dPt>
          <c:dPt>
            <c:idx val="2"/>
            <c:invertIfNegative val="0"/>
            <c:bubble3D val="0"/>
            <c:extLst>
              <c:ext xmlns:c16="http://schemas.microsoft.com/office/drawing/2014/chart" uri="{C3380CC4-5D6E-409C-BE32-E72D297353CC}">
                <c16:uniqueId val="{00000004-45CA-4051-990F-B9550B4F66C1}"/>
              </c:ext>
            </c:extLst>
          </c:dPt>
          <c:dPt>
            <c:idx val="3"/>
            <c:invertIfNegative val="0"/>
            <c:bubble3D val="0"/>
            <c:extLst>
              <c:ext xmlns:c16="http://schemas.microsoft.com/office/drawing/2014/chart" uri="{C3380CC4-5D6E-409C-BE32-E72D297353CC}">
                <c16:uniqueId val="{00000005-45CA-4051-990F-B9550B4F66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Table1!$B$55:$B$59</c:f>
              <c:strCache>
                <c:ptCount val="4"/>
                <c:pt idx="0">
                  <c:v>Autumn</c:v>
                </c:pt>
                <c:pt idx="1">
                  <c:v>Spring</c:v>
                </c:pt>
                <c:pt idx="2">
                  <c:v>Summer</c:v>
                </c:pt>
                <c:pt idx="3">
                  <c:v>Winter</c:v>
                </c:pt>
              </c:strCache>
            </c:strRef>
          </c:cat>
          <c:val>
            <c:numRef>
              <c:f>Table1!$C$55:$C$59</c:f>
              <c:numCache>
                <c:formatCode>\$#,##0.00;\(\$#,##0.00\);\$#,##0.00</c:formatCode>
                <c:ptCount val="4"/>
                <c:pt idx="0">
                  <c:v>517778.33</c:v>
                </c:pt>
                <c:pt idx="1">
                  <c:v>526053.18999999994</c:v>
                </c:pt>
                <c:pt idx="2">
                  <c:v>541153.93000000005</c:v>
                </c:pt>
                <c:pt idx="3">
                  <c:v>540899.1</c:v>
                </c:pt>
              </c:numCache>
            </c:numRef>
          </c:val>
          <c:extLst>
            <c:ext xmlns:c16="http://schemas.microsoft.com/office/drawing/2014/chart" uri="{C3380CC4-5D6E-409C-BE32-E72D297353CC}">
              <c16:uniqueId val="{00000000-45CA-4051-990F-B9550B4F66C1}"/>
            </c:ext>
          </c:extLst>
        </c:ser>
        <c:dLbls>
          <c:showLegendKey val="0"/>
          <c:showVal val="0"/>
          <c:showCatName val="0"/>
          <c:showSerName val="0"/>
          <c:showPercent val="0"/>
          <c:showBubbleSize val="0"/>
        </c:dLbls>
        <c:gapWidth val="199"/>
        <c:axId val="550163528"/>
        <c:axId val="550164184"/>
      </c:barChart>
      <c:catAx>
        <c:axId val="550163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accent1">
                    <a:lumMod val="75000"/>
                  </a:schemeClr>
                </a:solidFill>
                <a:latin typeface="+mn-lt"/>
                <a:ea typeface="+mn-ea"/>
                <a:cs typeface="+mn-cs"/>
              </a:defRPr>
            </a:pPr>
            <a:endParaRPr lang="en-US"/>
          </a:p>
        </c:txPr>
        <c:crossAx val="550164184"/>
        <c:auto val="1"/>
        <c:lblAlgn val="ctr"/>
        <c:lblOffset val="100"/>
        <c:noMultiLvlLbl val="0"/>
      </c:catAx>
      <c:valAx>
        <c:axId val="550164184"/>
        <c:scaling>
          <c:orientation val="minMax"/>
        </c:scaling>
        <c:delete val="1"/>
        <c:axPos val="l"/>
        <c:numFmt formatCode="\$#,##0.00;\(\$#,##0.00\);\$#,##0.00" sourceLinked="1"/>
        <c:majorTickMark val="none"/>
        <c:minorTickMark val="none"/>
        <c:tickLblPos val="nextTo"/>
        <c:crossAx val="550163528"/>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[Chic Boutiqe Apparel1.xlsx]Table1!PivotTable5</c:name>
    <c:fmtId val="2"/>
  </c:pivotSource>
  <c:chart>
    <c:title>
      <c:tx>
        <c:rich>
          <a:bodyPr rot="0" spcFirstLastPara="1" vertOverflow="ellipsis" vert="horz" wrap="square" anchor="ctr" anchorCtr="1"/>
          <a:lstStyle/>
          <a:p>
            <a:pPr>
              <a:defRPr sz="1260" b="1" i="0" u="none" strike="noStrike" kern="1200" cap="all" spc="50" baseline="0">
                <a:solidFill>
                  <a:schemeClr val="tx1">
                    <a:lumMod val="65000"/>
                    <a:lumOff val="35000"/>
                  </a:schemeClr>
                </a:solidFill>
                <a:latin typeface="+mn-lt"/>
                <a:ea typeface="+mn-ea"/>
                <a:cs typeface="+mn-cs"/>
              </a:defRPr>
            </a:pPr>
            <a:r>
              <a:rPr lang="en-US" sz="1600">
                <a:solidFill>
                  <a:schemeClr val="accent1">
                    <a:lumMod val="75000"/>
                  </a:schemeClr>
                </a:solidFill>
              </a:rPr>
              <a:t>Total Revenue by channel </a:t>
            </a:r>
          </a:p>
        </c:rich>
      </c:tx>
      <c:overlay val="0"/>
      <c:spPr>
        <a:noFill/>
        <a:ln>
          <a:noFill/>
        </a:ln>
        <a:effectLst/>
      </c:spPr>
      <c:txPr>
        <a:bodyPr rot="0" spcFirstLastPara="1" vertOverflow="ellipsis" vert="horz" wrap="square" anchor="ctr" anchorCtr="1"/>
        <a:lstStyle/>
        <a:p>
          <a:pPr>
            <a:defRPr sz="126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5.8459079810145684E-2"/>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9.7222222222222224E-2"/>
              <c:y val="0.34259259259259262"/>
            </c:manualLayout>
          </c:layout>
          <c:spPr>
            <a:noFill/>
            <a:ln>
              <a:noFill/>
            </a:ln>
            <a:effectLst/>
          </c:spPr>
          <c:txPr>
            <a:bodyPr rot="0" spcFirstLastPara="1" vertOverflow="ellipsis" vert="horz" wrap="square" anchor="ctr" anchorCtr="1"/>
            <a:lstStyle/>
            <a:p>
              <a:pPr>
                <a:defRPr sz="105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Table1!$C$66</c:f>
              <c:strCache>
                <c:ptCount val="1"/>
                <c:pt idx="0">
                  <c:v>Total</c:v>
                </c:pt>
              </c:strCache>
            </c:strRef>
          </c:tx>
          <c:dPt>
            <c:idx val="0"/>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83D4-458E-82CC-6EB256EAD322}"/>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3D4-458E-82CC-6EB256EAD322}"/>
              </c:ext>
            </c:extLst>
          </c:dPt>
          <c:dLbls>
            <c:dLbl>
              <c:idx val="0"/>
              <c:layout>
                <c:manualLayout>
                  <c:x val="5.8459079810145684E-2"/>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83D4-458E-82CC-6EB256EAD322}"/>
                </c:ext>
              </c:extLst>
            </c:dLbl>
            <c:dLbl>
              <c:idx val="1"/>
              <c:layout>
                <c:manualLayout>
                  <c:x val="-9.7222222222222224E-2"/>
                  <c:y val="0.34259259259259262"/>
                </c:manualLayout>
              </c:layout>
              <c:spPr>
                <a:noFill/>
                <a:ln>
                  <a:noFill/>
                </a:ln>
                <a:effectLst/>
              </c:spPr>
              <c:txPr>
                <a:bodyPr rot="0" spcFirstLastPara="1" vertOverflow="ellipsis" vert="horz" wrap="square" anchor="ctr" anchorCtr="1"/>
                <a:lstStyle/>
                <a:p>
                  <a:pPr>
                    <a:defRPr sz="105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83D4-458E-82CC-6EB256EAD32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Table1!$B$67:$B$69</c:f>
              <c:strCache>
                <c:ptCount val="2"/>
                <c:pt idx="0">
                  <c:v>In-Store</c:v>
                </c:pt>
                <c:pt idx="1">
                  <c:v>Online</c:v>
                </c:pt>
              </c:strCache>
            </c:strRef>
          </c:cat>
          <c:val>
            <c:numRef>
              <c:f>Table1!$C$67:$C$69</c:f>
              <c:numCache>
                <c:formatCode>\$#,##0.00;\(\$#,##0.00\);\$#,##0.00</c:formatCode>
                <c:ptCount val="2"/>
                <c:pt idx="0">
                  <c:v>1095628.02</c:v>
                </c:pt>
                <c:pt idx="1">
                  <c:v>1030256.53</c:v>
                </c:pt>
              </c:numCache>
            </c:numRef>
          </c:val>
          <c:extLst>
            <c:ext xmlns:c16="http://schemas.microsoft.com/office/drawing/2014/chart" uri="{C3380CC4-5D6E-409C-BE32-E72D297353CC}">
              <c16:uniqueId val="{00000000-83D4-458E-82CC-6EB256EAD32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2700000" algn="tl" rotWithShape="0">
        <a:schemeClr val="accent1">
          <a:lumMod val="40000"/>
          <a:lumOff val="60000"/>
          <a:alpha val="40000"/>
        </a:schemeClr>
      </a:outerShdw>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[Chic Boutiqe Apparel1.xlsx]Table1!PivotTable6</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1">
                    <a:lumMod val="75000"/>
                  </a:schemeClr>
                </a:solidFill>
              </a:rPr>
              <a:t>Stock</a:t>
            </a:r>
            <a:r>
              <a:rPr lang="en-US" baseline="0">
                <a:solidFill>
                  <a:schemeClr val="accent1">
                    <a:lumMod val="75000"/>
                  </a:schemeClr>
                </a:solidFill>
              </a:rPr>
              <a:t> VS Sold units</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5.0925337632079971E-17"/>
              <c:y val="6.8306010928961746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7777777777777779E-3"/>
              <c:y val="1.02459016393442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
              <c:y val="3.4153005464480561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7777777777777779E-3"/>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Table1!$C$81</c:f>
              <c:strCache>
                <c:ptCount val="1"/>
                <c:pt idx="0">
                  <c:v>Units Sold</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dPt>
            <c:idx val="8"/>
            <c:invertIfNegative val="0"/>
            <c:bubble3D val="0"/>
            <c:extLst>
              <c:ext xmlns:c16="http://schemas.microsoft.com/office/drawing/2014/chart" uri="{C3380CC4-5D6E-409C-BE32-E72D297353CC}">
                <c16:uniqueId val="{0000000B-2072-4B9F-B4E3-D093A1312FCC}"/>
              </c:ext>
            </c:extLst>
          </c:dPt>
          <c:dPt>
            <c:idx val="9"/>
            <c:invertIfNegative val="0"/>
            <c:bubble3D val="0"/>
            <c:extLst>
              <c:ext xmlns:c16="http://schemas.microsoft.com/office/drawing/2014/chart" uri="{C3380CC4-5D6E-409C-BE32-E72D297353CC}">
                <c16:uniqueId val="{0000000A-2072-4B9F-B4E3-D093A1312FCC}"/>
              </c:ext>
            </c:extLst>
          </c:dPt>
          <c:dPt>
            <c:idx val="10"/>
            <c:invertIfNegative val="0"/>
            <c:bubble3D val="0"/>
            <c:extLst>
              <c:ext xmlns:c16="http://schemas.microsoft.com/office/drawing/2014/chart" uri="{C3380CC4-5D6E-409C-BE32-E72D297353CC}">
                <c16:uniqueId val="{00000009-2072-4B9F-B4E3-D093A1312FCC}"/>
              </c:ext>
            </c:extLst>
          </c:dPt>
          <c:dPt>
            <c:idx val="11"/>
            <c:invertIfNegative val="0"/>
            <c:bubble3D val="0"/>
            <c:extLst>
              <c:ext xmlns:c16="http://schemas.microsoft.com/office/drawing/2014/chart" uri="{C3380CC4-5D6E-409C-BE32-E72D297353CC}">
                <c16:uniqueId val="{00000007-2072-4B9F-B4E3-D093A1312FCC}"/>
              </c:ext>
            </c:extLst>
          </c:dPt>
          <c:dPt>
            <c:idx val="12"/>
            <c:invertIfNegative val="0"/>
            <c:bubble3D val="0"/>
            <c:extLst>
              <c:ext xmlns:c16="http://schemas.microsoft.com/office/drawing/2014/chart" uri="{C3380CC4-5D6E-409C-BE32-E72D297353CC}">
                <c16:uniqueId val="{00000008-2072-4B9F-B4E3-D093A1312FCC}"/>
              </c:ext>
            </c:extLst>
          </c:dPt>
          <c:dPt>
            <c:idx val="13"/>
            <c:invertIfNegative val="0"/>
            <c:bubble3D val="0"/>
            <c:extLst>
              <c:ext xmlns:c16="http://schemas.microsoft.com/office/drawing/2014/chart" uri="{C3380CC4-5D6E-409C-BE32-E72D297353CC}">
                <c16:uniqueId val="{00000006-2072-4B9F-B4E3-D093A1312FCC}"/>
              </c:ext>
            </c:extLst>
          </c:dPt>
          <c:dPt>
            <c:idx val="14"/>
            <c:invertIfNegative val="0"/>
            <c:bubble3D val="0"/>
            <c:extLst>
              <c:ext xmlns:c16="http://schemas.microsoft.com/office/drawing/2014/chart" uri="{C3380CC4-5D6E-409C-BE32-E72D297353CC}">
                <c16:uniqueId val="{00000005-2072-4B9F-B4E3-D093A1312FCC}"/>
              </c:ext>
            </c:extLst>
          </c:dPt>
          <c:dPt>
            <c:idx val="15"/>
            <c:invertIfNegative val="0"/>
            <c:bubble3D val="0"/>
            <c:extLst>
              <c:ext xmlns:c16="http://schemas.microsoft.com/office/drawing/2014/chart" uri="{C3380CC4-5D6E-409C-BE32-E72D297353CC}">
                <c16:uniqueId val="{00000004-2072-4B9F-B4E3-D093A1312FCC}"/>
              </c:ext>
            </c:extLst>
          </c:dPt>
          <c:dLbls>
            <c:dLbl>
              <c:idx val="8"/>
              <c:layout>
                <c:manualLayout>
                  <c:x val="0"/>
                  <c:y val="1.024590163934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072-4B9F-B4E3-D093A1312FCC}"/>
                </c:ext>
              </c:extLst>
            </c:dLbl>
            <c:dLbl>
              <c:idx val="9"/>
              <c:layout>
                <c:manualLayout>
                  <c:x val="0"/>
                  <c:y val="1.024590163934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072-4B9F-B4E3-D093A1312FCC}"/>
                </c:ext>
              </c:extLst>
            </c:dLbl>
            <c:dLbl>
              <c:idx val="10"/>
              <c:layout>
                <c:manualLayout>
                  <c:x val="0"/>
                  <c:y val="1.024590163934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072-4B9F-B4E3-D093A1312FCC}"/>
                </c:ext>
              </c:extLst>
            </c:dLbl>
            <c:dLbl>
              <c:idx val="11"/>
              <c:layout>
                <c:manualLayout>
                  <c:x val="2.7777777777777779E-3"/>
                  <c:y val="1.024590163934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72-4B9F-B4E3-D093A1312FCC}"/>
                </c:ext>
              </c:extLst>
            </c:dLbl>
            <c:dLbl>
              <c:idx val="12"/>
              <c:layout>
                <c:manualLayout>
                  <c:x val="0"/>
                  <c:y val="1.024590163934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72-4B9F-B4E3-D093A1312FCC}"/>
                </c:ext>
              </c:extLst>
            </c:dLbl>
            <c:dLbl>
              <c:idx val="13"/>
              <c:layout>
                <c:manualLayout>
                  <c:x val="0"/>
                  <c:y val="3.415300546448056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72-4B9F-B4E3-D093A1312FCC}"/>
                </c:ext>
              </c:extLst>
            </c:dLbl>
            <c:dLbl>
              <c:idx val="14"/>
              <c:layout>
                <c:manualLayout>
                  <c:x val="2.7777777777777779E-3"/>
                  <c:y val="1.0245901639344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72-4B9F-B4E3-D093A1312FCC}"/>
                </c:ext>
              </c:extLst>
            </c:dLbl>
            <c:dLbl>
              <c:idx val="15"/>
              <c:layout>
                <c:manualLayout>
                  <c:x val="5.0925337632079971E-17"/>
                  <c:y val="6.83060109289617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72-4B9F-B4E3-D093A1312FC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Table1!$B$82:$B$98</c:f>
              <c:strCache>
                <c:ptCount val="16"/>
                <c:pt idx="0">
                  <c:v>Dresses C</c:v>
                </c:pt>
                <c:pt idx="1">
                  <c:v>Accessories D</c:v>
                </c:pt>
                <c:pt idx="2">
                  <c:v>Tops D</c:v>
                </c:pt>
                <c:pt idx="3">
                  <c:v>Dresses A</c:v>
                </c:pt>
                <c:pt idx="4">
                  <c:v>Tops C</c:v>
                </c:pt>
                <c:pt idx="5">
                  <c:v>Accessories A</c:v>
                </c:pt>
                <c:pt idx="6">
                  <c:v>Bottoms B</c:v>
                </c:pt>
                <c:pt idx="7">
                  <c:v>Dresses B</c:v>
                </c:pt>
                <c:pt idx="8">
                  <c:v>Accessories B</c:v>
                </c:pt>
                <c:pt idx="9">
                  <c:v>Tops A</c:v>
                </c:pt>
                <c:pt idx="10">
                  <c:v>Tops B</c:v>
                </c:pt>
                <c:pt idx="11">
                  <c:v>Bottoms A</c:v>
                </c:pt>
                <c:pt idx="12">
                  <c:v>Bottoms C</c:v>
                </c:pt>
                <c:pt idx="13">
                  <c:v>Accessories C</c:v>
                </c:pt>
                <c:pt idx="14">
                  <c:v>Dresses D</c:v>
                </c:pt>
                <c:pt idx="15">
                  <c:v>Bottoms D</c:v>
                </c:pt>
              </c:strCache>
            </c:strRef>
          </c:cat>
          <c:val>
            <c:numRef>
              <c:f>Table1!$C$82:$C$98</c:f>
              <c:numCache>
                <c:formatCode>General</c:formatCode>
                <c:ptCount val="16"/>
                <c:pt idx="0">
                  <c:v>2068</c:v>
                </c:pt>
                <c:pt idx="1">
                  <c:v>2192</c:v>
                </c:pt>
                <c:pt idx="2">
                  <c:v>2294</c:v>
                </c:pt>
                <c:pt idx="3">
                  <c:v>2454</c:v>
                </c:pt>
                <c:pt idx="4">
                  <c:v>2432</c:v>
                </c:pt>
                <c:pt idx="5">
                  <c:v>2436</c:v>
                </c:pt>
                <c:pt idx="6">
                  <c:v>2400</c:v>
                </c:pt>
                <c:pt idx="7">
                  <c:v>2485</c:v>
                </c:pt>
                <c:pt idx="8">
                  <c:v>2597</c:v>
                </c:pt>
                <c:pt idx="9">
                  <c:v>2627</c:v>
                </c:pt>
                <c:pt idx="10">
                  <c:v>2644</c:v>
                </c:pt>
                <c:pt idx="11">
                  <c:v>2578</c:v>
                </c:pt>
                <c:pt idx="12">
                  <c:v>2642</c:v>
                </c:pt>
                <c:pt idx="13">
                  <c:v>2778</c:v>
                </c:pt>
                <c:pt idx="14">
                  <c:v>2739</c:v>
                </c:pt>
                <c:pt idx="15">
                  <c:v>2882</c:v>
                </c:pt>
              </c:numCache>
            </c:numRef>
          </c:val>
          <c:extLst>
            <c:ext xmlns:c16="http://schemas.microsoft.com/office/drawing/2014/chart" uri="{C3380CC4-5D6E-409C-BE32-E72D297353CC}">
              <c16:uniqueId val="{00000000-2072-4B9F-B4E3-D093A1312FCC}"/>
            </c:ext>
          </c:extLst>
        </c:ser>
        <c:ser>
          <c:idx val="1"/>
          <c:order val="1"/>
          <c:tx>
            <c:strRef>
              <c:f>Table1!$D$81</c:f>
              <c:strCache>
                <c:ptCount val="1"/>
                <c:pt idx="0">
                  <c:v>Stock</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Table1!$B$82:$B$98</c:f>
              <c:strCache>
                <c:ptCount val="16"/>
                <c:pt idx="0">
                  <c:v>Dresses C</c:v>
                </c:pt>
                <c:pt idx="1">
                  <c:v>Accessories D</c:v>
                </c:pt>
                <c:pt idx="2">
                  <c:v>Tops D</c:v>
                </c:pt>
                <c:pt idx="3">
                  <c:v>Dresses A</c:v>
                </c:pt>
                <c:pt idx="4">
                  <c:v>Tops C</c:v>
                </c:pt>
                <c:pt idx="5">
                  <c:v>Accessories A</c:v>
                </c:pt>
                <c:pt idx="6">
                  <c:v>Bottoms B</c:v>
                </c:pt>
                <c:pt idx="7">
                  <c:v>Dresses B</c:v>
                </c:pt>
                <c:pt idx="8">
                  <c:v>Accessories B</c:v>
                </c:pt>
                <c:pt idx="9">
                  <c:v>Tops A</c:v>
                </c:pt>
                <c:pt idx="10">
                  <c:v>Tops B</c:v>
                </c:pt>
                <c:pt idx="11">
                  <c:v>Bottoms A</c:v>
                </c:pt>
                <c:pt idx="12">
                  <c:v>Bottoms C</c:v>
                </c:pt>
                <c:pt idx="13">
                  <c:v>Accessories C</c:v>
                </c:pt>
                <c:pt idx="14">
                  <c:v>Dresses D</c:v>
                </c:pt>
                <c:pt idx="15">
                  <c:v>Bottoms D</c:v>
                </c:pt>
              </c:strCache>
            </c:strRef>
          </c:cat>
          <c:val>
            <c:numRef>
              <c:f>Table1!$D$82:$D$98</c:f>
              <c:numCache>
                <c:formatCode>General</c:formatCode>
                <c:ptCount val="16"/>
                <c:pt idx="0">
                  <c:v>8087</c:v>
                </c:pt>
                <c:pt idx="1">
                  <c:v>8732</c:v>
                </c:pt>
                <c:pt idx="2">
                  <c:v>9229</c:v>
                </c:pt>
                <c:pt idx="3">
                  <c:v>9326</c:v>
                </c:pt>
                <c:pt idx="4">
                  <c:v>9429</c:v>
                </c:pt>
                <c:pt idx="5">
                  <c:v>9871</c:v>
                </c:pt>
                <c:pt idx="6">
                  <c:v>9896</c:v>
                </c:pt>
                <c:pt idx="7">
                  <c:v>10185</c:v>
                </c:pt>
                <c:pt idx="8">
                  <c:v>10195</c:v>
                </c:pt>
                <c:pt idx="9">
                  <c:v>10215</c:v>
                </c:pt>
                <c:pt idx="10">
                  <c:v>10317</c:v>
                </c:pt>
                <c:pt idx="11">
                  <c:v>10344</c:v>
                </c:pt>
                <c:pt idx="12">
                  <c:v>10598</c:v>
                </c:pt>
                <c:pt idx="13">
                  <c:v>10950</c:v>
                </c:pt>
                <c:pt idx="14">
                  <c:v>10974</c:v>
                </c:pt>
                <c:pt idx="15">
                  <c:v>11505</c:v>
                </c:pt>
              </c:numCache>
            </c:numRef>
          </c:val>
          <c:extLst>
            <c:ext xmlns:c16="http://schemas.microsoft.com/office/drawing/2014/chart" uri="{C3380CC4-5D6E-409C-BE32-E72D297353CC}">
              <c16:uniqueId val="{00000001-2072-4B9F-B4E3-D093A1312FCC}"/>
            </c:ext>
          </c:extLst>
        </c:ser>
        <c:dLbls>
          <c:showLegendKey val="0"/>
          <c:showVal val="1"/>
          <c:showCatName val="0"/>
          <c:showSerName val="0"/>
          <c:showPercent val="0"/>
          <c:showBubbleSize val="0"/>
        </c:dLbls>
        <c:gapWidth val="100"/>
        <c:axId val="1305834648"/>
        <c:axId val="1305833664"/>
      </c:barChart>
      <c:catAx>
        <c:axId val="13058346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crossAx val="1305833664"/>
        <c:crosses val="autoZero"/>
        <c:auto val="1"/>
        <c:lblAlgn val="ctr"/>
        <c:lblOffset val="100"/>
        <c:noMultiLvlLbl val="0"/>
      </c:catAx>
      <c:valAx>
        <c:axId val="1305833664"/>
        <c:scaling>
          <c:orientation val="minMax"/>
        </c:scaling>
        <c:delete val="1"/>
        <c:axPos val="b"/>
        <c:numFmt formatCode="General" sourceLinked="1"/>
        <c:majorTickMark val="none"/>
        <c:minorTickMark val="none"/>
        <c:tickLblPos val="nextTo"/>
        <c:crossAx val="1305834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2700000" algn="tl" rotWithShape="0">
        <a:schemeClr val="accent1">
          <a:lumMod val="40000"/>
          <a:lumOff val="6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[Chic Boutiqe Apparel1.xlsx]Table1!PivotTable7</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solidFill>
                  <a:schemeClr val="accent1">
                    <a:lumMod val="75000"/>
                  </a:schemeClr>
                </a:solidFill>
              </a:rPr>
              <a:t>NEW</a:t>
            </a:r>
            <a:r>
              <a:rPr lang="en-US" sz="1600" b="1" baseline="0">
                <a:solidFill>
                  <a:schemeClr val="accent1">
                    <a:lumMod val="75000"/>
                  </a:schemeClr>
                </a:solidFill>
              </a:rPr>
              <a:t> VS RETURNING CUSTOMER</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8"/>
          <c:spPr>
            <a:solidFill>
              <a:schemeClr val="accent6">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8"/>
          <c:spPr>
            <a:solidFill>
              <a:schemeClr val="accent6">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3.3333333333333305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3.6111111111111108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6">
              <a:tint val="65000"/>
            </a:schemeClr>
          </a:solidFill>
          <a:ln>
            <a:noFill/>
          </a:ln>
          <a:effectLst/>
        </c:spPr>
        <c:dLbl>
          <c:idx val="0"/>
          <c:layout>
            <c:manualLayout>
              <c:x val="3.888888888888884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6">
              <a:tint val="65000"/>
            </a:schemeClr>
          </a:solidFill>
          <a:ln>
            <a:noFill/>
          </a:ln>
          <a:effectLst/>
        </c:spPr>
        <c:dLbl>
          <c:idx val="0"/>
          <c:layout>
            <c:manualLayout>
              <c:x val="2.49999999999998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Table1!$C$109</c:f>
              <c:strCache>
                <c:ptCount val="1"/>
                <c:pt idx="0">
                  <c:v>Total Revenue</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Table1!$B$110:$B$112</c:f>
              <c:strCache>
                <c:ptCount val="2"/>
                <c:pt idx="0">
                  <c:v>New</c:v>
                </c:pt>
                <c:pt idx="1">
                  <c:v>Returning</c:v>
                </c:pt>
              </c:strCache>
            </c:strRef>
          </c:cat>
          <c:val>
            <c:numRef>
              <c:f>Table1!$C$110:$C$112</c:f>
              <c:numCache>
                <c:formatCode>\$#,##0.00;\(\$#,##0.00\);\$#,##0.00</c:formatCode>
                <c:ptCount val="2"/>
                <c:pt idx="0">
                  <c:v>1089048.8</c:v>
                </c:pt>
                <c:pt idx="1">
                  <c:v>1036835.75</c:v>
                </c:pt>
              </c:numCache>
            </c:numRef>
          </c:val>
          <c:extLst>
            <c:ext xmlns:c16="http://schemas.microsoft.com/office/drawing/2014/chart" uri="{C3380CC4-5D6E-409C-BE32-E72D297353CC}">
              <c16:uniqueId val="{00000000-4FEB-458E-A11E-EF9DA884F081}"/>
            </c:ext>
          </c:extLst>
        </c:ser>
        <c:ser>
          <c:idx val="1"/>
          <c:order val="1"/>
          <c:tx>
            <c:strRef>
              <c:f>Table1!$D$109</c:f>
              <c:strCache>
                <c:ptCount val="1"/>
                <c:pt idx="0">
                  <c:v>Total Cost</c:v>
                </c:pt>
              </c:strCache>
            </c:strRef>
          </c:tx>
          <c:spPr>
            <a:solidFill>
              <a:schemeClr val="accent6"/>
            </a:solidFill>
            <a:ln>
              <a:noFill/>
            </a:ln>
            <a:effectLst/>
          </c:spPr>
          <c:invertIfNegative val="0"/>
          <c:dLbls>
            <c:dLbl>
              <c:idx val="0"/>
              <c:layout>
                <c:manualLayout>
                  <c:x val="3.3333333333333305E-2"/>
                  <c:y val="-4.2437781360066642E-17"/>
                </c:manualLayout>
              </c:layout>
              <c:dLblPos val="out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4FEB-458E-A11E-EF9DA884F081}"/>
                </c:ext>
              </c:extLst>
            </c:dLbl>
            <c:dLbl>
              <c:idx val="1"/>
              <c:layout>
                <c:manualLayout>
                  <c:x val="3.6111111111111108E-2"/>
                  <c:y val="-4.6296296296297144E-3"/>
                </c:manualLayout>
              </c:layout>
              <c:dLblPos val="out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FEB-458E-A11E-EF9DA884F0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Table1!$B$110:$B$112</c:f>
              <c:strCache>
                <c:ptCount val="2"/>
                <c:pt idx="0">
                  <c:v>New</c:v>
                </c:pt>
                <c:pt idx="1">
                  <c:v>Returning</c:v>
                </c:pt>
              </c:strCache>
            </c:strRef>
          </c:cat>
          <c:val>
            <c:numRef>
              <c:f>Table1!$D$110:$D$112</c:f>
              <c:numCache>
                <c:formatCode>\$#,##0.00;\(\$#,##0.00\);\$#,##0.00</c:formatCode>
                <c:ptCount val="2"/>
                <c:pt idx="0">
                  <c:v>706108.11</c:v>
                </c:pt>
                <c:pt idx="1">
                  <c:v>674448.67</c:v>
                </c:pt>
              </c:numCache>
            </c:numRef>
          </c:val>
          <c:extLst>
            <c:ext xmlns:c16="http://schemas.microsoft.com/office/drawing/2014/chart" uri="{C3380CC4-5D6E-409C-BE32-E72D297353CC}">
              <c16:uniqueId val="{00000001-4FEB-458E-A11E-EF9DA884F081}"/>
            </c:ext>
          </c:extLst>
        </c:ser>
        <c:ser>
          <c:idx val="2"/>
          <c:order val="2"/>
          <c:tx>
            <c:strRef>
              <c:f>Table1!$E$109</c:f>
              <c:strCache>
                <c:ptCount val="1"/>
                <c:pt idx="0">
                  <c:v>Total Profit</c:v>
                </c:pt>
              </c:strCache>
            </c:strRef>
          </c:tx>
          <c:spPr>
            <a:solidFill>
              <a:schemeClr val="accent6">
                <a:tint val="65000"/>
              </a:schemeClr>
            </a:solidFill>
            <a:ln>
              <a:noFill/>
            </a:ln>
            <a:effectLst/>
          </c:spPr>
          <c:invertIfNegative val="0"/>
          <c:dLbls>
            <c:dLbl>
              <c:idx val="0"/>
              <c:layout>
                <c:manualLayout>
                  <c:x val="3.8888888888888841E-2"/>
                  <c:y val="-4.6296296296296294E-3"/>
                </c:manualLayout>
              </c:layout>
              <c:dLblPos val="out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4FEB-458E-A11E-EF9DA884F081}"/>
                </c:ext>
              </c:extLst>
            </c:dLbl>
            <c:dLbl>
              <c:idx val="1"/>
              <c:layout>
                <c:manualLayout>
                  <c:x val="2.4999999999999897E-2"/>
                  <c:y val="0"/>
                </c:manualLayout>
              </c:layout>
              <c:dLblPos val="out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4FEB-458E-A11E-EF9DA884F0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Table1!$B$110:$B$112</c:f>
              <c:strCache>
                <c:ptCount val="2"/>
                <c:pt idx="0">
                  <c:v>New</c:v>
                </c:pt>
                <c:pt idx="1">
                  <c:v>Returning</c:v>
                </c:pt>
              </c:strCache>
            </c:strRef>
          </c:cat>
          <c:val>
            <c:numRef>
              <c:f>Table1!$E$110:$E$112</c:f>
              <c:numCache>
                <c:formatCode>\$#,##0.00;\(\$#,##0.00\);\$#,##0.00</c:formatCode>
                <c:ptCount val="2"/>
                <c:pt idx="0">
                  <c:v>382940.69</c:v>
                </c:pt>
                <c:pt idx="1">
                  <c:v>362387.08</c:v>
                </c:pt>
              </c:numCache>
            </c:numRef>
          </c:val>
          <c:extLst>
            <c:ext xmlns:c16="http://schemas.microsoft.com/office/drawing/2014/chart" uri="{C3380CC4-5D6E-409C-BE32-E72D297353CC}">
              <c16:uniqueId val="{00000002-4FEB-458E-A11E-EF9DA884F081}"/>
            </c:ext>
          </c:extLst>
        </c:ser>
        <c:dLbls>
          <c:dLblPos val="outEnd"/>
          <c:showLegendKey val="0"/>
          <c:showVal val="1"/>
          <c:showCatName val="0"/>
          <c:showSerName val="0"/>
          <c:showPercent val="0"/>
          <c:showBubbleSize val="0"/>
        </c:dLbls>
        <c:gapWidth val="199"/>
        <c:axId val="757706832"/>
        <c:axId val="757707160"/>
      </c:barChart>
      <c:catAx>
        <c:axId val="75770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accent1">
                    <a:lumMod val="75000"/>
                  </a:schemeClr>
                </a:solidFill>
                <a:latin typeface="+mn-lt"/>
                <a:ea typeface="+mn-ea"/>
                <a:cs typeface="+mn-cs"/>
              </a:defRPr>
            </a:pPr>
            <a:endParaRPr lang="en-US"/>
          </a:p>
        </c:txPr>
        <c:crossAx val="757707160"/>
        <c:crosses val="autoZero"/>
        <c:auto val="1"/>
        <c:lblAlgn val="ctr"/>
        <c:lblOffset val="100"/>
        <c:noMultiLvlLbl val="0"/>
      </c:catAx>
      <c:valAx>
        <c:axId val="757707160"/>
        <c:scaling>
          <c:orientation val="minMax"/>
        </c:scaling>
        <c:delete val="1"/>
        <c:axPos val="l"/>
        <c:numFmt formatCode="\$#,##0.00;\(\$#,##0.00\);\$#,##0.00" sourceLinked="1"/>
        <c:majorTickMark val="none"/>
        <c:minorTickMark val="none"/>
        <c:tickLblPos val="nextTo"/>
        <c:crossAx val="75770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lumMod val="40000"/>
          <a:lumOff val="6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[Chic Boutiqe Apparel1.xlsx]Table1!PivotTable13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Table1!$C$121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Table1!$B$122:$B$138</c:f>
              <c:strCache>
                <c:ptCount val="16"/>
                <c:pt idx="0">
                  <c:v>Dresses C</c:v>
                </c:pt>
                <c:pt idx="1">
                  <c:v>Dresses A</c:v>
                </c:pt>
                <c:pt idx="2">
                  <c:v>Dresses B</c:v>
                </c:pt>
                <c:pt idx="3">
                  <c:v>Accessories D</c:v>
                </c:pt>
                <c:pt idx="4">
                  <c:v>Bottoms B</c:v>
                </c:pt>
                <c:pt idx="5">
                  <c:v>Accessories A</c:v>
                </c:pt>
                <c:pt idx="6">
                  <c:v>Tops D</c:v>
                </c:pt>
                <c:pt idx="7">
                  <c:v>Tops C</c:v>
                </c:pt>
                <c:pt idx="8">
                  <c:v>Dresses D</c:v>
                </c:pt>
                <c:pt idx="9">
                  <c:v>Tops B</c:v>
                </c:pt>
                <c:pt idx="10">
                  <c:v>Tops A</c:v>
                </c:pt>
                <c:pt idx="11">
                  <c:v>Bottoms A</c:v>
                </c:pt>
                <c:pt idx="12">
                  <c:v>Bottoms C</c:v>
                </c:pt>
                <c:pt idx="13">
                  <c:v>Accessories B</c:v>
                </c:pt>
                <c:pt idx="14">
                  <c:v>Accessories C</c:v>
                </c:pt>
                <c:pt idx="15">
                  <c:v>Bottoms D</c:v>
                </c:pt>
              </c:strCache>
            </c:strRef>
          </c:cat>
          <c:val>
            <c:numRef>
              <c:f>Table1!$C$122:$C$138</c:f>
              <c:numCache>
                <c:formatCode>"$"#,##0</c:formatCode>
                <c:ptCount val="16"/>
                <c:pt idx="0">
                  <c:v>114753.71</c:v>
                </c:pt>
                <c:pt idx="1">
                  <c:v>116202.55</c:v>
                </c:pt>
                <c:pt idx="2">
                  <c:v>118207.2</c:v>
                </c:pt>
                <c:pt idx="3">
                  <c:v>118773.12</c:v>
                </c:pt>
                <c:pt idx="4">
                  <c:v>126170.54</c:v>
                </c:pt>
                <c:pt idx="5">
                  <c:v>127518.19</c:v>
                </c:pt>
                <c:pt idx="6">
                  <c:v>129334.01</c:v>
                </c:pt>
                <c:pt idx="7">
                  <c:v>129797.7</c:v>
                </c:pt>
                <c:pt idx="8">
                  <c:v>135719.9</c:v>
                </c:pt>
                <c:pt idx="9">
                  <c:v>136918.32999999999</c:v>
                </c:pt>
                <c:pt idx="10">
                  <c:v>140357.10999999999</c:v>
                </c:pt>
                <c:pt idx="11">
                  <c:v>141274.65</c:v>
                </c:pt>
                <c:pt idx="12">
                  <c:v>143763.88</c:v>
                </c:pt>
                <c:pt idx="13">
                  <c:v>144690.04999999999</c:v>
                </c:pt>
                <c:pt idx="14">
                  <c:v>148769.22</c:v>
                </c:pt>
                <c:pt idx="15">
                  <c:v>153634.39000000001</c:v>
                </c:pt>
              </c:numCache>
            </c:numRef>
          </c:val>
          <c:extLst>
            <c:ext xmlns:c16="http://schemas.microsoft.com/office/drawing/2014/chart" uri="{C3380CC4-5D6E-409C-BE32-E72D297353CC}">
              <c16:uniqueId val="{00000000-049B-4EC0-A460-12778074F6CA}"/>
            </c:ext>
          </c:extLst>
        </c:ser>
        <c:dLbls>
          <c:dLblPos val="outEnd"/>
          <c:showLegendKey val="0"/>
          <c:showVal val="1"/>
          <c:showCatName val="0"/>
          <c:showSerName val="0"/>
          <c:showPercent val="0"/>
          <c:showBubbleSize val="0"/>
        </c:dLbls>
        <c:gapWidth val="182"/>
        <c:axId val="741966232"/>
        <c:axId val="741967872"/>
      </c:barChart>
      <c:catAx>
        <c:axId val="741966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crossAx val="741967872"/>
        <c:crosses val="autoZero"/>
        <c:auto val="1"/>
        <c:lblAlgn val="ctr"/>
        <c:lblOffset val="100"/>
        <c:noMultiLvlLbl val="0"/>
      </c:catAx>
      <c:valAx>
        <c:axId val="741967872"/>
        <c:scaling>
          <c:orientation val="minMax"/>
        </c:scaling>
        <c:delete val="1"/>
        <c:axPos val="b"/>
        <c:numFmt formatCode="&quot;$&quot;#,##0" sourceLinked="1"/>
        <c:majorTickMark val="none"/>
        <c:minorTickMark val="none"/>
        <c:tickLblPos val="nextTo"/>
        <c:crossAx val="741966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[Chic Boutiqe Apparel1.xlsx]Table1!PivotTable14</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1">
                <a:solidFill>
                  <a:schemeClr val="accent1">
                    <a:lumMod val="75000"/>
                  </a:schemeClr>
                </a:solidFill>
              </a:rPr>
              <a:t>TOTAL REVENUE</a:t>
            </a:r>
            <a:r>
              <a:rPr lang="en-US" sz="1600" b="1" baseline="0">
                <a:solidFill>
                  <a:schemeClr val="accent1">
                    <a:lumMod val="75000"/>
                  </a:schemeClr>
                </a:solidFill>
              </a:rPr>
              <a:t> BY MONTH</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Table1!$C$147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Table1!$B$148:$B$160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Table1!$C$148:$C$160</c:f>
              <c:numCache>
                <c:formatCode>\$#,##0.00;\(\$#,##0.00\);\$#,##0.00</c:formatCode>
                <c:ptCount val="12"/>
                <c:pt idx="0">
                  <c:v>160946.14000000001</c:v>
                </c:pt>
                <c:pt idx="1">
                  <c:v>165230.98000000001</c:v>
                </c:pt>
                <c:pt idx="2">
                  <c:v>175423.72</c:v>
                </c:pt>
                <c:pt idx="3">
                  <c:v>183729.05</c:v>
                </c:pt>
                <c:pt idx="4">
                  <c:v>166900.42000000001</c:v>
                </c:pt>
                <c:pt idx="5">
                  <c:v>177065.26</c:v>
                </c:pt>
                <c:pt idx="6">
                  <c:v>196426.35</c:v>
                </c:pt>
                <c:pt idx="7">
                  <c:v>167662.32</c:v>
                </c:pt>
                <c:pt idx="8">
                  <c:v>178031.22</c:v>
                </c:pt>
                <c:pt idx="9">
                  <c:v>189592.39</c:v>
                </c:pt>
                <c:pt idx="10">
                  <c:v>150154.72</c:v>
                </c:pt>
                <c:pt idx="11">
                  <c:v>214721.98</c:v>
                </c:pt>
              </c:numCache>
            </c:numRef>
          </c:val>
          <c:extLst>
            <c:ext xmlns:c16="http://schemas.microsoft.com/office/drawing/2014/chart" uri="{C3380CC4-5D6E-409C-BE32-E72D297353CC}">
              <c16:uniqueId val="{00000000-4D43-4534-96F1-2DFDADB8DE56}"/>
            </c:ext>
          </c:extLst>
        </c:ser>
        <c:dLbls>
          <c:showLegendKey val="0"/>
          <c:showVal val="0"/>
          <c:showCatName val="0"/>
          <c:showSerName val="0"/>
          <c:showPercent val="0"/>
          <c:showBubbleSize val="0"/>
        </c:dLbls>
        <c:axId val="822627176"/>
        <c:axId val="822623896"/>
      </c:areaChart>
      <c:catAx>
        <c:axId val="822627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crossAx val="822623896"/>
        <c:crosses val="autoZero"/>
        <c:auto val="1"/>
        <c:lblAlgn val="ctr"/>
        <c:lblOffset val="100"/>
        <c:noMultiLvlLbl val="0"/>
      </c:catAx>
      <c:valAx>
        <c:axId val="822623896"/>
        <c:scaling>
          <c:orientation val="minMax"/>
        </c:scaling>
        <c:delete val="1"/>
        <c:axPos val="l"/>
        <c:numFmt formatCode="\$#,##0.00;\(\$#,##0.00\);\$#,##0.00" sourceLinked="1"/>
        <c:majorTickMark val="none"/>
        <c:minorTickMark val="none"/>
        <c:tickLblPos val="nextTo"/>
        <c:crossAx val="822627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[Chic Boutiqe Apparel1.xlsx]Table1!PivotTable7</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solidFill>
                  <a:schemeClr val="accent1">
                    <a:lumMod val="75000"/>
                  </a:schemeClr>
                </a:solidFill>
              </a:rPr>
              <a:t>NEW</a:t>
            </a:r>
            <a:r>
              <a:rPr lang="en-US" sz="1600" b="1" baseline="0">
                <a:solidFill>
                  <a:schemeClr val="accent1">
                    <a:lumMod val="75000"/>
                  </a:schemeClr>
                </a:solidFill>
              </a:rPr>
              <a:t> VS RETURNING CUSTOMER</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8"/>
          <c:spPr>
            <a:solidFill>
              <a:schemeClr val="accent6">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8"/>
          <c:spPr>
            <a:solidFill>
              <a:schemeClr val="accent6">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3.3333333333333305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3.6111111111111108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6">
              <a:tint val="65000"/>
            </a:schemeClr>
          </a:solidFill>
          <a:ln>
            <a:noFill/>
          </a:ln>
          <a:effectLst/>
        </c:spPr>
        <c:dLbl>
          <c:idx val="0"/>
          <c:layout>
            <c:manualLayout>
              <c:x val="3.888888888888884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6">
              <a:tint val="65000"/>
            </a:schemeClr>
          </a:solidFill>
          <a:ln>
            <a:noFill/>
          </a:ln>
          <a:effectLst/>
        </c:spPr>
        <c:dLbl>
          <c:idx val="0"/>
          <c:layout>
            <c:manualLayout>
              <c:x val="2.4999999999999897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layout>
            <c:manualLayout>
              <c:x val="3.3333333333333305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layout>
            <c:manualLayout>
              <c:x val="3.6111111111111108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2"/>
        <c:spPr>
          <a:solidFill>
            <a:schemeClr val="accent6">
              <a:tint val="65000"/>
            </a:schemeClr>
          </a:solidFill>
          <a:ln>
            <a:noFill/>
          </a:ln>
          <a:effectLst/>
        </c:spPr>
        <c:dLbl>
          <c:idx val="0"/>
          <c:layout>
            <c:manualLayout>
              <c:x val="3.888888888888884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3"/>
        <c:spPr>
          <a:solidFill>
            <a:schemeClr val="accent6">
              <a:tint val="65000"/>
            </a:schemeClr>
          </a:solidFill>
          <a:ln>
            <a:noFill/>
          </a:ln>
          <a:effectLst/>
        </c:spPr>
        <c:dLbl>
          <c:idx val="0"/>
          <c:layout>
            <c:manualLayout>
              <c:x val="2.4999999999999897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6"/>
        <c:spPr>
          <a:solidFill>
            <a:schemeClr val="accent6"/>
          </a:solidFill>
          <a:ln>
            <a:noFill/>
          </a:ln>
          <a:effectLst/>
        </c:spPr>
        <c:dLbl>
          <c:idx val="0"/>
          <c:layout>
            <c:manualLayout>
              <c:x val="3.3333333333333305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3.6111111111111108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9"/>
        <c:spPr>
          <a:solidFill>
            <a:schemeClr val="accent6">
              <a:tint val="65000"/>
            </a:schemeClr>
          </a:solidFill>
          <a:ln>
            <a:noFill/>
          </a:ln>
          <a:effectLst/>
        </c:spPr>
        <c:dLbl>
          <c:idx val="0"/>
          <c:layout>
            <c:manualLayout>
              <c:x val="3.888888888888884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20"/>
        <c:spPr>
          <a:solidFill>
            <a:schemeClr val="accent6">
              <a:tint val="65000"/>
            </a:schemeClr>
          </a:solidFill>
          <a:ln>
            <a:noFill/>
          </a:ln>
          <a:effectLst/>
        </c:spPr>
        <c:dLbl>
          <c:idx val="0"/>
          <c:layout>
            <c:manualLayout>
              <c:x val="4.2761872794319894E-2"/>
              <c:y val="-5.1599587203303319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Table1!$C$109</c:f>
              <c:strCache>
                <c:ptCount val="1"/>
                <c:pt idx="0">
                  <c:v>Total Revenue</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Table1!$B$110:$B$112</c:f>
              <c:strCache>
                <c:ptCount val="2"/>
                <c:pt idx="0">
                  <c:v>New</c:v>
                </c:pt>
                <c:pt idx="1">
                  <c:v>Returning</c:v>
                </c:pt>
              </c:strCache>
            </c:strRef>
          </c:cat>
          <c:val>
            <c:numRef>
              <c:f>Table1!$C$110:$C$112</c:f>
              <c:numCache>
                <c:formatCode>\$#,##0.00;\(\$#,##0.00\);\$#,##0.00</c:formatCode>
                <c:ptCount val="2"/>
                <c:pt idx="0">
                  <c:v>1089048.8</c:v>
                </c:pt>
                <c:pt idx="1">
                  <c:v>1036835.75</c:v>
                </c:pt>
              </c:numCache>
            </c:numRef>
          </c:val>
          <c:extLst>
            <c:ext xmlns:c16="http://schemas.microsoft.com/office/drawing/2014/chart" uri="{C3380CC4-5D6E-409C-BE32-E72D297353CC}">
              <c16:uniqueId val="{00000000-4DCC-4273-B861-F931C56455BB}"/>
            </c:ext>
          </c:extLst>
        </c:ser>
        <c:ser>
          <c:idx val="1"/>
          <c:order val="1"/>
          <c:tx>
            <c:strRef>
              <c:f>Table1!$D$109</c:f>
              <c:strCache>
                <c:ptCount val="1"/>
                <c:pt idx="0">
                  <c:v>Total Cost</c:v>
                </c:pt>
              </c:strCache>
            </c:strRef>
          </c:tx>
          <c:spPr>
            <a:solidFill>
              <a:schemeClr val="accent6"/>
            </a:solidFill>
            <a:ln>
              <a:noFill/>
            </a:ln>
            <a:effectLst/>
          </c:spPr>
          <c:invertIfNegative val="0"/>
          <c:dLbls>
            <c:dLbl>
              <c:idx val="0"/>
              <c:layout>
                <c:manualLayout>
                  <c:x val="3.3333333333333305E-2"/>
                  <c:y val="-4.2437781360066642E-17"/>
                </c:manualLayout>
              </c:layout>
              <c:dLblPos val="out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4DCC-4273-B861-F931C56455BB}"/>
                </c:ext>
              </c:extLst>
            </c:dLbl>
            <c:dLbl>
              <c:idx val="1"/>
              <c:layout>
                <c:manualLayout>
                  <c:x val="3.6111111111111108E-2"/>
                  <c:y val="-4.6296296296297144E-3"/>
                </c:manualLayout>
              </c:layout>
              <c:dLblPos val="out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4DCC-4273-B861-F931C56455B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Table1!$B$110:$B$112</c:f>
              <c:strCache>
                <c:ptCount val="2"/>
                <c:pt idx="0">
                  <c:v>New</c:v>
                </c:pt>
                <c:pt idx="1">
                  <c:v>Returning</c:v>
                </c:pt>
              </c:strCache>
            </c:strRef>
          </c:cat>
          <c:val>
            <c:numRef>
              <c:f>Table1!$D$110:$D$112</c:f>
              <c:numCache>
                <c:formatCode>\$#,##0.00;\(\$#,##0.00\);\$#,##0.00</c:formatCode>
                <c:ptCount val="2"/>
                <c:pt idx="0">
                  <c:v>706108.11</c:v>
                </c:pt>
                <c:pt idx="1">
                  <c:v>674448.67</c:v>
                </c:pt>
              </c:numCache>
            </c:numRef>
          </c:val>
          <c:extLst>
            <c:ext xmlns:c16="http://schemas.microsoft.com/office/drawing/2014/chart" uri="{C3380CC4-5D6E-409C-BE32-E72D297353CC}">
              <c16:uniqueId val="{00000003-4DCC-4273-B861-F931C56455BB}"/>
            </c:ext>
          </c:extLst>
        </c:ser>
        <c:ser>
          <c:idx val="2"/>
          <c:order val="2"/>
          <c:tx>
            <c:strRef>
              <c:f>Table1!$E$109</c:f>
              <c:strCache>
                <c:ptCount val="1"/>
                <c:pt idx="0">
                  <c:v>Total Profit</c:v>
                </c:pt>
              </c:strCache>
            </c:strRef>
          </c:tx>
          <c:spPr>
            <a:solidFill>
              <a:schemeClr val="accent6">
                <a:tint val="65000"/>
              </a:schemeClr>
            </a:solidFill>
            <a:ln>
              <a:noFill/>
            </a:ln>
            <a:effectLst/>
          </c:spPr>
          <c:invertIfNegative val="0"/>
          <c:dLbls>
            <c:dLbl>
              <c:idx val="0"/>
              <c:layout>
                <c:manualLayout>
                  <c:x val="3.8888888888888841E-2"/>
                  <c:y val="-4.6296296296296294E-3"/>
                </c:manualLayout>
              </c:layout>
              <c:dLblPos val="out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4DCC-4273-B861-F931C56455BB}"/>
                </c:ext>
              </c:extLst>
            </c:dLbl>
            <c:dLbl>
              <c:idx val="1"/>
              <c:layout>
                <c:manualLayout>
                  <c:x val="4.2761872794319894E-2"/>
                  <c:y val="-5.1599587203303319E-3"/>
                </c:manualLayout>
              </c:layout>
              <c:dLblPos val="outEnd"/>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DCC-4273-B861-F931C56455B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Table1!$B$110:$B$112</c:f>
              <c:strCache>
                <c:ptCount val="2"/>
                <c:pt idx="0">
                  <c:v>New</c:v>
                </c:pt>
                <c:pt idx="1">
                  <c:v>Returning</c:v>
                </c:pt>
              </c:strCache>
            </c:strRef>
          </c:cat>
          <c:val>
            <c:numRef>
              <c:f>Table1!$E$110:$E$112</c:f>
              <c:numCache>
                <c:formatCode>\$#,##0.00;\(\$#,##0.00\);\$#,##0.00</c:formatCode>
                <c:ptCount val="2"/>
                <c:pt idx="0">
                  <c:v>382940.69</c:v>
                </c:pt>
                <c:pt idx="1">
                  <c:v>362387.08</c:v>
                </c:pt>
              </c:numCache>
            </c:numRef>
          </c:val>
          <c:extLst>
            <c:ext xmlns:c16="http://schemas.microsoft.com/office/drawing/2014/chart" uri="{C3380CC4-5D6E-409C-BE32-E72D297353CC}">
              <c16:uniqueId val="{00000006-4DCC-4273-B861-F931C56455BB}"/>
            </c:ext>
          </c:extLst>
        </c:ser>
        <c:dLbls>
          <c:dLblPos val="outEnd"/>
          <c:showLegendKey val="0"/>
          <c:showVal val="1"/>
          <c:showCatName val="0"/>
          <c:showSerName val="0"/>
          <c:showPercent val="0"/>
          <c:showBubbleSize val="0"/>
        </c:dLbls>
        <c:gapWidth val="199"/>
        <c:axId val="757706832"/>
        <c:axId val="757707160"/>
      </c:barChart>
      <c:catAx>
        <c:axId val="75770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accent1">
                    <a:lumMod val="75000"/>
                  </a:schemeClr>
                </a:solidFill>
                <a:latin typeface="+mn-lt"/>
                <a:ea typeface="+mn-ea"/>
                <a:cs typeface="+mn-cs"/>
              </a:defRPr>
            </a:pPr>
            <a:endParaRPr lang="en-US"/>
          </a:p>
        </c:txPr>
        <c:crossAx val="757707160"/>
        <c:crosses val="autoZero"/>
        <c:auto val="1"/>
        <c:lblAlgn val="ctr"/>
        <c:lblOffset val="100"/>
        <c:noMultiLvlLbl val="0"/>
      </c:catAx>
      <c:valAx>
        <c:axId val="757707160"/>
        <c:scaling>
          <c:orientation val="minMax"/>
        </c:scaling>
        <c:delete val="1"/>
        <c:axPos val="l"/>
        <c:numFmt formatCode="\$#,##0.00;\(\$#,##0.00\);\$#,##0.00" sourceLinked="1"/>
        <c:majorTickMark val="none"/>
        <c:minorTickMark val="none"/>
        <c:tickLblPos val="nextTo"/>
        <c:crossAx val="75770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lumMod val="40000"/>
          <a:lumOff val="6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[Chic Boutiqe Apparel1.xlsx]Table1!PivotTable2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1">
                    <a:lumMod val="75000"/>
                  </a:schemeClr>
                </a:solidFill>
              </a:rPr>
              <a:t>Total 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Table1!$C$10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Table1!$B$11:$B$27</c:f>
              <c:strCache>
                <c:ptCount val="16"/>
                <c:pt idx="0">
                  <c:v>Dresses C</c:v>
                </c:pt>
                <c:pt idx="1">
                  <c:v>Dresses A</c:v>
                </c:pt>
                <c:pt idx="2">
                  <c:v>Dresses B</c:v>
                </c:pt>
                <c:pt idx="3">
                  <c:v>Accessories D</c:v>
                </c:pt>
                <c:pt idx="4">
                  <c:v>Bottoms B</c:v>
                </c:pt>
                <c:pt idx="5">
                  <c:v>Accessories A</c:v>
                </c:pt>
                <c:pt idx="6">
                  <c:v>Tops D</c:v>
                </c:pt>
                <c:pt idx="7">
                  <c:v>Tops C</c:v>
                </c:pt>
                <c:pt idx="8">
                  <c:v>Dresses D</c:v>
                </c:pt>
                <c:pt idx="9">
                  <c:v>Tops B</c:v>
                </c:pt>
                <c:pt idx="10">
                  <c:v>Tops A</c:v>
                </c:pt>
                <c:pt idx="11">
                  <c:v>Bottoms A</c:v>
                </c:pt>
                <c:pt idx="12">
                  <c:v>Bottoms C</c:v>
                </c:pt>
                <c:pt idx="13">
                  <c:v>Accessories B</c:v>
                </c:pt>
                <c:pt idx="14">
                  <c:v>Accessories C</c:v>
                </c:pt>
                <c:pt idx="15">
                  <c:v>Bottoms D</c:v>
                </c:pt>
              </c:strCache>
            </c:strRef>
          </c:cat>
          <c:val>
            <c:numRef>
              <c:f>Table1!$C$11:$C$27</c:f>
              <c:numCache>
                <c:formatCode>\$#,##0.00;\(\$#,##0.00\);\$#,##0.00</c:formatCode>
                <c:ptCount val="16"/>
                <c:pt idx="0">
                  <c:v>114753.71</c:v>
                </c:pt>
                <c:pt idx="1">
                  <c:v>116202.55</c:v>
                </c:pt>
                <c:pt idx="2">
                  <c:v>118207.2</c:v>
                </c:pt>
                <c:pt idx="3">
                  <c:v>118773.12</c:v>
                </c:pt>
                <c:pt idx="4">
                  <c:v>126170.54</c:v>
                </c:pt>
                <c:pt idx="5">
                  <c:v>127518.19</c:v>
                </c:pt>
                <c:pt idx="6">
                  <c:v>129334.01</c:v>
                </c:pt>
                <c:pt idx="7">
                  <c:v>129797.7</c:v>
                </c:pt>
                <c:pt idx="8">
                  <c:v>135719.9</c:v>
                </c:pt>
                <c:pt idx="9">
                  <c:v>136918.32999999999</c:v>
                </c:pt>
                <c:pt idx="10">
                  <c:v>140357.10999999999</c:v>
                </c:pt>
                <c:pt idx="11">
                  <c:v>141274.65</c:v>
                </c:pt>
                <c:pt idx="12">
                  <c:v>143763.88</c:v>
                </c:pt>
                <c:pt idx="13">
                  <c:v>144690.04999999999</c:v>
                </c:pt>
                <c:pt idx="14">
                  <c:v>148769.22</c:v>
                </c:pt>
                <c:pt idx="15">
                  <c:v>153634.39000000001</c:v>
                </c:pt>
              </c:numCache>
            </c:numRef>
          </c:val>
          <c:extLst>
            <c:ext xmlns:c16="http://schemas.microsoft.com/office/drawing/2014/chart" uri="{C3380CC4-5D6E-409C-BE32-E72D297353CC}">
              <c16:uniqueId val="{00000000-3154-407A-A080-90EFFE000A20}"/>
            </c:ext>
          </c:extLst>
        </c:ser>
        <c:dLbls>
          <c:dLblPos val="outEnd"/>
          <c:showLegendKey val="0"/>
          <c:showVal val="1"/>
          <c:showCatName val="0"/>
          <c:showSerName val="0"/>
          <c:showPercent val="0"/>
          <c:showBubbleSize val="0"/>
        </c:dLbls>
        <c:gapWidth val="100"/>
        <c:axId val="981354256"/>
        <c:axId val="981367704"/>
      </c:barChart>
      <c:catAx>
        <c:axId val="9813542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crossAx val="981367704"/>
        <c:crosses val="autoZero"/>
        <c:auto val="1"/>
        <c:lblAlgn val="ctr"/>
        <c:lblOffset val="100"/>
        <c:noMultiLvlLbl val="0"/>
      </c:catAx>
      <c:valAx>
        <c:axId val="981367704"/>
        <c:scaling>
          <c:orientation val="minMax"/>
        </c:scaling>
        <c:delete val="1"/>
        <c:axPos val="b"/>
        <c:numFmt formatCode="\$#,##0.00;\(\$#,##0.00\);\$#,##0.00" sourceLinked="1"/>
        <c:majorTickMark val="none"/>
        <c:minorTickMark val="none"/>
        <c:tickLblPos val="nextTo"/>
        <c:crossAx val="98135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2700000" algn="tl" rotWithShape="0">
        <a:schemeClr val="accent1">
          <a:lumMod val="40000"/>
          <a:lumOff val="6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[Chic Boutiqe Apparel1.xlsx]Table1!PivotTable3</c:name>
    <c:fmtId val="3"/>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US" sz="1600">
                <a:solidFill>
                  <a:schemeClr val="accent1">
                    <a:lumMod val="75000"/>
                  </a:schemeClr>
                </a:solidFill>
              </a:rPr>
              <a:t>Total Revenue 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399267399267399"/>
              <c:y val="-5.56398583712695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91223212483052"/>
                  <c:h val="0.26211431461810825"/>
                </c:manualLayout>
              </c15:layout>
            </c:ext>
          </c:extLst>
        </c:dLbl>
      </c:pivotFmt>
      <c:pivotFmt>
        <c:idx val="2"/>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849816849816834"/>
              <c:y val="9.10470409711684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1175824175824176"/>
                  <c:h val="0.26211431461810825"/>
                </c:manualLayout>
              </c15:layout>
            </c:ext>
          </c:extLst>
        </c:dLbl>
      </c:pivotFmt>
      <c:pivotFmt>
        <c:idx val="3"/>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3186813186813187"/>
              <c:y val="0.101163378856853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373626373626374"/>
                  <c:h val="0.26211431461810825"/>
                </c:manualLayout>
              </c15:layout>
            </c:ext>
          </c:extLst>
        </c:dLbl>
      </c:pivotFmt>
      <c:pivotFmt>
        <c:idx val="4"/>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666652245392402"/>
              <c:y val="-4.04653515427415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74725274725271"/>
                  <c:h val="0.26211431461810825"/>
                </c:manualLayout>
              </c15:layout>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399267399267399"/>
              <c:y val="-5.56398583712695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91223212483052"/>
                  <c:h val="0.26211431461810825"/>
                </c:manualLayout>
              </c15:layout>
            </c:ext>
          </c:extLst>
        </c:dLbl>
      </c:pivotFmt>
      <c:pivotFmt>
        <c:idx val="7"/>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849816849816834"/>
              <c:y val="9.10470409711684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1175824175824176"/>
                  <c:h val="0.26211431461810825"/>
                </c:manualLayout>
              </c15:layout>
            </c:ext>
          </c:extLst>
        </c:dLbl>
      </c:pivotFmt>
      <c:pivotFmt>
        <c:idx val="8"/>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3186813186813187"/>
              <c:y val="0.101163378856853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373626373626374"/>
                  <c:h val="0.26211431461810825"/>
                </c:manualLayout>
              </c15:layout>
            </c:ext>
          </c:extLst>
        </c:dLbl>
      </c:pivotFmt>
      <c:pivotFmt>
        <c:idx val="9"/>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666652245392402"/>
              <c:y val="-4.04653515427415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74725274725271"/>
                  <c:h val="0.26211431461810825"/>
                </c:manualLayout>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7399267399267399"/>
              <c:y val="-5.56398583712695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91223212483052"/>
                  <c:h val="0.26211431461810825"/>
                </c:manualLayout>
              </c15:layout>
            </c:ext>
          </c:extLst>
        </c:dLbl>
      </c:pivotFmt>
      <c:pivotFmt>
        <c:idx val="12"/>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849816849816834"/>
              <c:y val="9.10470409711684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1175824175824176"/>
                  <c:h val="0.26211431461810825"/>
                </c:manualLayout>
              </c15:layout>
            </c:ext>
          </c:extLst>
        </c:dLbl>
      </c:pivotFmt>
      <c:pivotFmt>
        <c:idx val="13"/>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3186813186813187"/>
              <c:y val="0.101163378856853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373626373626374"/>
                  <c:h val="0.26211431461810825"/>
                </c:manualLayout>
              </c15:layout>
            </c:ext>
          </c:extLst>
        </c:dLbl>
      </c:pivotFmt>
      <c:pivotFmt>
        <c:idx val="14"/>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666652245392402"/>
              <c:y val="-4.04653515427415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74725274725271"/>
                  <c:h val="0.26211431461810825"/>
                </c:manualLayout>
              </c15:layout>
            </c:ext>
          </c:extLst>
        </c:dLbl>
      </c:pivotFmt>
    </c:pivotFmts>
    <c:plotArea>
      <c:layout/>
      <c:doughnutChart>
        <c:varyColors val="1"/>
        <c:ser>
          <c:idx val="0"/>
          <c:order val="0"/>
          <c:tx>
            <c:strRef>
              <c:f>Table1!$C$37</c:f>
              <c:strCache>
                <c:ptCount val="1"/>
                <c:pt idx="0">
                  <c:v>Total</c:v>
                </c:pt>
              </c:strCache>
            </c:strRef>
          </c:tx>
          <c:dPt>
            <c:idx val="0"/>
            <c:bubble3D val="0"/>
            <c:spPr>
              <a:solidFill>
                <a:schemeClr val="accent1">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94B-457A-8954-26F600F3A773}"/>
              </c:ext>
            </c:extLst>
          </c:dPt>
          <c:dPt>
            <c:idx val="1"/>
            <c:bubble3D val="0"/>
            <c:spPr>
              <a:solidFill>
                <a:schemeClr val="accent1">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94B-457A-8954-26F600F3A773}"/>
              </c:ext>
            </c:extLst>
          </c:dPt>
          <c:dPt>
            <c:idx val="2"/>
            <c:bubble3D val="0"/>
            <c:spPr>
              <a:solidFill>
                <a:schemeClr val="accent1">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94B-457A-8954-26F600F3A773}"/>
              </c:ext>
            </c:extLst>
          </c:dPt>
          <c:dPt>
            <c:idx val="3"/>
            <c:bubble3D val="0"/>
            <c:spPr>
              <a:solidFill>
                <a:schemeClr val="accent1">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94B-457A-8954-26F600F3A773}"/>
              </c:ext>
            </c:extLst>
          </c:dPt>
          <c:dLbls>
            <c:dLbl>
              <c:idx val="0"/>
              <c:layout>
                <c:manualLayout>
                  <c:x val="0.17399267399267399"/>
                  <c:y val="-5.56398583712695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91223212483052"/>
                      <c:h val="0.26211431461810825"/>
                    </c:manualLayout>
                  </c15:layout>
                </c:ext>
                <c:ext xmlns:c16="http://schemas.microsoft.com/office/drawing/2014/chart" uri="{C3380CC4-5D6E-409C-BE32-E72D297353CC}">
                  <c16:uniqueId val="{00000001-B94B-457A-8954-26F600F3A773}"/>
                </c:ext>
              </c:extLst>
            </c:dLbl>
            <c:dLbl>
              <c:idx val="1"/>
              <c:layout>
                <c:manualLayout>
                  <c:x val="0.16849816849816834"/>
                  <c:y val="9.10470409711684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1175824175824176"/>
                      <c:h val="0.26211431461810825"/>
                    </c:manualLayout>
                  </c15:layout>
                </c:ext>
                <c:ext xmlns:c16="http://schemas.microsoft.com/office/drawing/2014/chart" uri="{C3380CC4-5D6E-409C-BE32-E72D297353CC}">
                  <c16:uniqueId val="{00000003-B94B-457A-8954-26F600F3A773}"/>
                </c:ext>
              </c:extLst>
            </c:dLbl>
            <c:dLbl>
              <c:idx val="2"/>
              <c:layout>
                <c:manualLayout>
                  <c:x val="-0.13186813186813187"/>
                  <c:y val="0.101163378856853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373626373626374"/>
                      <c:h val="0.26211431461810825"/>
                    </c:manualLayout>
                  </c15:layout>
                </c:ext>
                <c:ext xmlns:c16="http://schemas.microsoft.com/office/drawing/2014/chart" uri="{C3380CC4-5D6E-409C-BE32-E72D297353CC}">
                  <c16:uniqueId val="{00000005-B94B-457A-8954-26F600F3A773}"/>
                </c:ext>
              </c:extLst>
            </c:dLbl>
            <c:dLbl>
              <c:idx val="3"/>
              <c:layout>
                <c:manualLayout>
                  <c:x val="-0.16666652245392402"/>
                  <c:y val="-4.04653515427415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40000"/>
                          <a:lumOff val="6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2274725274725271"/>
                      <c:h val="0.26211431461810825"/>
                    </c:manualLayout>
                  </c15:layout>
                </c:ext>
                <c:ext xmlns:c16="http://schemas.microsoft.com/office/drawing/2014/chart" uri="{C3380CC4-5D6E-409C-BE32-E72D297353CC}">
                  <c16:uniqueId val="{00000007-B94B-457A-8954-26F600F3A77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Table1!$B$38:$B$42</c:f>
              <c:strCache>
                <c:ptCount val="4"/>
                <c:pt idx="0">
                  <c:v>Accessories</c:v>
                </c:pt>
                <c:pt idx="1">
                  <c:v>Bottoms</c:v>
                </c:pt>
                <c:pt idx="2">
                  <c:v>Dresses</c:v>
                </c:pt>
                <c:pt idx="3">
                  <c:v>Tops</c:v>
                </c:pt>
              </c:strCache>
            </c:strRef>
          </c:cat>
          <c:val>
            <c:numRef>
              <c:f>Table1!$C$38:$C$42</c:f>
              <c:numCache>
                <c:formatCode>\$#,##0.00;\(\$#,##0.00\);\$#,##0.00</c:formatCode>
                <c:ptCount val="4"/>
                <c:pt idx="0">
                  <c:v>539750.57999999996</c:v>
                </c:pt>
                <c:pt idx="1">
                  <c:v>564843.46</c:v>
                </c:pt>
                <c:pt idx="2">
                  <c:v>484883.36</c:v>
                </c:pt>
                <c:pt idx="3">
                  <c:v>536407.15</c:v>
                </c:pt>
              </c:numCache>
            </c:numRef>
          </c:val>
          <c:extLst>
            <c:ext xmlns:c16="http://schemas.microsoft.com/office/drawing/2014/chart" uri="{C3380CC4-5D6E-409C-BE32-E72D297353CC}">
              <c16:uniqueId val="{00000008-B94B-457A-8954-26F600F3A77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2700000" algn="tl" rotWithShape="0">
        <a:schemeClr val="accent1">
          <a:lumMod val="40000"/>
          <a:lumOff val="60000"/>
          <a:alpha val="40000"/>
        </a:schemeClr>
      </a:outerShdw>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[Chic Boutiqe Apparel1.xlsx]Table1!PivotTable4</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solidFill>
                  <a:schemeClr val="accent1">
                    <a:lumMod val="75000"/>
                  </a:schemeClr>
                </a:solidFill>
              </a:rPr>
              <a:t>TOTAL REVENUE BY SEASON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Table1!$C$54</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0-F536-4690-9104-FF704C4E1FB4}"/>
              </c:ext>
            </c:extLst>
          </c:dPt>
          <c:dPt>
            <c:idx val="1"/>
            <c:invertIfNegative val="0"/>
            <c:bubble3D val="0"/>
            <c:extLst>
              <c:ext xmlns:c16="http://schemas.microsoft.com/office/drawing/2014/chart" uri="{C3380CC4-5D6E-409C-BE32-E72D297353CC}">
                <c16:uniqueId val="{00000001-F536-4690-9104-FF704C4E1FB4}"/>
              </c:ext>
            </c:extLst>
          </c:dPt>
          <c:dPt>
            <c:idx val="2"/>
            <c:invertIfNegative val="0"/>
            <c:bubble3D val="0"/>
            <c:extLst>
              <c:ext xmlns:c16="http://schemas.microsoft.com/office/drawing/2014/chart" uri="{C3380CC4-5D6E-409C-BE32-E72D297353CC}">
                <c16:uniqueId val="{00000002-F536-4690-9104-FF704C4E1FB4}"/>
              </c:ext>
            </c:extLst>
          </c:dPt>
          <c:dPt>
            <c:idx val="3"/>
            <c:invertIfNegative val="0"/>
            <c:bubble3D val="0"/>
            <c:extLst>
              <c:ext xmlns:c16="http://schemas.microsoft.com/office/drawing/2014/chart" uri="{C3380CC4-5D6E-409C-BE32-E72D297353CC}">
                <c16:uniqueId val="{00000003-F536-4690-9104-FF704C4E1FB4}"/>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Table1!$B$55:$B$59</c:f>
              <c:strCache>
                <c:ptCount val="4"/>
                <c:pt idx="0">
                  <c:v>Autumn</c:v>
                </c:pt>
                <c:pt idx="1">
                  <c:v>Spring</c:v>
                </c:pt>
                <c:pt idx="2">
                  <c:v>Summer</c:v>
                </c:pt>
                <c:pt idx="3">
                  <c:v>Winter</c:v>
                </c:pt>
              </c:strCache>
            </c:strRef>
          </c:cat>
          <c:val>
            <c:numRef>
              <c:f>Table1!$C$55:$C$59</c:f>
              <c:numCache>
                <c:formatCode>\$#,##0.00;\(\$#,##0.00\);\$#,##0.00</c:formatCode>
                <c:ptCount val="4"/>
                <c:pt idx="0">
                  <c:v>517778.33</c:v>
                </c:pt>
                <c:pt idx="1">
                  <c:v>526053.18999999994</c:v>
                </c:pt>
                <c:pt idx="2">
                  <c:v>541153.93000000005</c:v>
                </c:pt>
                <c:pt idx="3">
                  <c:v>540899.1</c:v>
                </c:pt>
              </c:numCache>
            </c:numRef>
          </c:val>
          <c:extLst>
            <c:ext xmlns:c16="http://schemas.microsoft.com/office/drawing/2014/chart" uri="{C3380CC4-5D6E-409C-BE32-E72D297353CC}">
              <c16:uniqueId val="{00000004-F536-4690-9104-FF704C4E1FB4}"/>
            </c:ext>
          </c:extLst>
        </c:ser>
        <c:dLbls>
          <c:showLegendKey val="0"/>
          <c:showVal val="0"/>
          <c:showCatName val="0"/>
          <c:showSerName val="0"/>
          <c:showPercent val="0"/>
          <c:showBubbleSize val="0"/>
        </c:dLbls>
        <c:gapWidth val="199"/>
        <c:axId val="550163528"/>
        <c:axId val="550164184"/>
      </c:barChart>
      <c:catAx>
        <c:axId val="550163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normalizeH="0" baseline="0">
                <a:solidFill>
                  <a:schemeClr val="accent1">
                    <a:lumMod val="75000"/>
                  </a:schemeClr>
                </a:solidFill>
                <a:latin typeface="+mn-lt"/>
                <a:ea typeface="+mn-ea"/>
                <a:cs typeface="+mn-cs"/>
              </a:defRPr>
            </a:pPr>
            <a:endParaRPr lang="en-US"/>
          </a:p>
        </c:txPr>
        <c:crossAx val="550164184"/>
        <c:crosses val="autoZero"/>
        <c:auto val="1"/>
        <c:lblAlgn val="ctr"/>
        <c:lblOffset val="100"/>
        <c:noMultiLvlLbl val="0"/>
      </c:catAx>
      <c:valAx>
        <c:axId val="550164184"/>
        <c:scaling>
          <c:orientation val="minMax"/>
        </c:scaling>
        <c:delete val="1"/>
        <c:axPos val="l"/>
        <c:numFmt formatCode="\$#,##0.00;\(\$#,##0.00\);\$#,##0.00" sourceLinked="1"/>
        <c:majorTickMark val="none"/>
        <c:minorTickMark val="none"/>
        <c:tickLblPos val="nextTo"/>
        <c:crossAx val="550163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[Chic Boutiqe Apparel1.xlsx]Table1!PivotTable5</c:name>
    <c:fmtId val="5"/>
  </c:pivotSource>
  <c:chart>
    <c:title>
      <c:tx>
        <c:rich>
          <a:bodyPr rot="0" spcFirstLastPara="1" vertOverflow="ellipsis" vert="horz" wrap="square" anchor="ctr" anchorCtr="1"/>
          <a:lstStyle/>
          <a:p>
            <a:pPr>
              <a:defRPr sz="1260" b="1" i="0" u="none" strike="noStrike" kern="1200" cap="all" spc="50" baseline="0">
                <a:solidFill>
                  <a:schemeClr val="tx1">
                    <a:lumMod val="65000"/>
                    <a:lumOff val="35000"/>
                  </a:schemeClr>
                </a:solidFill>
                <a:latin typeface="+mn-lt"/>
                <a:ea typeface="+mn-ea"/>
                <a:cs typeface="+mn-cs"/>
              </a:defRPr>
            </a:pPr>
            <a:r>
              <a:rPr lang="en-US" sz="1600">
                <a:solidFill>
                  <a:schemeClr val="accent1">
                    <a:lumMod val="75000"/>
                  </a:schemeClr>
                </a:solidFill>
              </a:rPr>
              <a:t>Total Revenue by channel </a:t>
            </a:r>
          </a:p>
        </c:rich>
      </c:tx>
      <c:overlay val="0"/>
      <c:spPr>
        <a:noFill/>
        <a:ln>
          <a:noFill/>
        </a:ln>
        <a:effectLst/>
      </c:spPr>
      <c:txPr>
        <a:bodyPr rot="0" spcFirstLastPara="1" vertOverflow="ellipsis" vert="horz" wrap="square" anchor="ctr" anchorCtr="1"/>
        <a:lstStyle/>
        <a:p>
          <a:pPr>
            <a:defRPr sz="126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5.8459079810145684E-2"/>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9.7222222222222224E-2"/>
              <c:y val="0.34259259259259262"/>
            </c:manualLayout>
          </c:layout>
          <c:spPr>
            <a:noFill/>
            <a:ln>
              <a:noFill/>
            </a:ln>
            <a:effectLst/>
          </c:spPr>
          <c:txPr>
            <a:bodyPr rot="0" spcFirstLastPara="1" vertOverflow="ellipsis" vert="horz" wrap="square" anchor="ctr" anchorCtr="1"/>
            <a:lstStyle/>
            <a:p>
              <a:pPr>
                <a:defRPr sz="105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5.8459079810145684E-2"/>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9.7222222222222224E-2"/>
              <c:y val="0.34259259259259262"/>
            </c:manualLayout>
          </c:layout>
          <c:spPr>
            <a:noFill/>
            <a:ln>
              <a:noFill/>
            </a:ln>
            <a:effectLst/>
          </c:spPr>
          <c:txPr>
            <a:bodyPr rot="0" spcFirstLastPara="1" vertOverflow="ellipsis" vert="horz" wrap="square" anchor="ctr" anchorCtr="1"/>
            <a:lstStyle/>
            <a:p>
              <a:pPr>
                <a:defRPr sz="105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5.8459079810145684E-2"/>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9.7222222222222224E-2"/>
              <c:y val="0.34259259259259262"/>
            </c:manualLayout>
          </c:layout>
          <c:spPr>
            <a:noFill/>
            <a:ln>
              <a:noFill/>
            </a:ln>
            <a:effectLst/>
          </c:spPr>
          <c:txPr>
            <a:bodyPr rot="0" spcFirstLastPara="1" vertOverflow="ellipsis" vert="horz" wrap="square" anchor="ctr" anchorCtr="1"/>
            <a:lstStyle/>
            <a:p>
              <a:pPr>
                <a:defRPr sz="105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Table1!$C$66</c:f>
              <c:strCache>
                <c:ptCount val="1"/>
                <c:pt idx="0">
                  <c:v>Total</c:v>
                </c:pt>
              </c:strCache>
            </c:strRef>
          </c:tx>
          <c:dPt>
            <c:idx val="0"/>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D2D-444E-B21C-96E3390086CD}"/>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D2D-444E-B21C-96E3390086CD}"/>
              </c:ext>
            </c:extLst>
          </c:dPt>
          <c:dLbls>
            <c:dLbl>
              <c:idx val="0"/>
              <c:layout>
                <c:manualLayout>
                  <c:x val="5.8459079810145684E-2"/>
                  <c:y val="-0.3472222222222222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D2D-444E-B21C-96E3390086CD}"/>
                </c:ext>
              </c:extLst>
            </c:dLbl>
            <c:dLbl>
              <c:idx val="1"/>
              <c:layout>
                <c:manualLayout>
                  <c:x val="-9.7222222222222224E-2"/>
                  <c:y val="0.34259259259259262"/>
                </c:manualLayout>
              </c:layout>
              <c:spPr>
                <a:noFill/>
                <a:ln>
                  <a:noFill/>
                </a:ln>
                <a:effectLst/>
              </c:spPr>
              <c:txPr>
                <a:bodyPr rot="0" spcFirstLastPara="1" vertOverflow="ellipsis" vert="horz" wrap="square" anchor="ctr" anchorCtr="1"/>
                <a:lstStyle/>
                <a:p>
                  <a:pPr>
                    <a:defRPr sz="1050" b="1"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D2D-444E-B21C-96E3390086C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Table1!$B$67:$B$69</c:f>
              <c:strCache>
                <c:ptCount val="2"/>
                <c:pt idx="0">
                  <c:v>In-Store</c:v>
                </c:pt>
                <c:pt idx="1">
                  <c:v>Online</c:v>
                </c:pt>
              </c:strCache>
            </c:strRef>
          </c:cat>
          <c:val>
            <c:numRef>
              <c:f>Table1!$C$67:$C$69</c:f>
              <c:numCache>
                <c:formatCode>\$#,##0.00;\(\$#,##0.00\);\$#,##0.00</c:formatCode>
                <c:ptCount val="2"/>
                <c:pt idx="0">
                  <c:v>1095628.02</c:v>
                </c:pt>
                <c:pt idx="1">
                  <c:v>1030256.53</c:v>
                </c:pt>
              </c:numCache>
            </c:numRef>
          </c:val>
          <c:extLst>
            <c:ext xmlns:c16="http://schemas.microsoft.com/office/drawing/2014/chart" uri="{C3380CC4-5D6E-409C-BE32-E72D297353CC}">
              <c16:uniqueId val="{00000004-CD2D-444E-B21C-96E3390086CD}"/>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2700000" algn="tl" rotWithShape="0">
        <a:schemeClr val="accent1">
          <a:lumMod val="40000"/>
          <a:lumOff val="60000"/>
          <a:alpha val="40000"/>
        </a:schemeClr>
      </a:outerShdw>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[Chic Boutiqe Apparel1.xlsx]Table1!PivotTable6</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1">
                    <a:lumMod val="75000"/>
                  </a:schemeClr>
                </a:solidFill>
              </a:rPr>
              <a:t>Stock</a:t>
            </a:r>
            <a:r>
              <a:rPr lang="en-US" baseline="0">
                <a:solidFill>
                  <a:schemeClr val="accent1">
                    <a:lumMod val="75000"/>
                  </a:schemeClr>
                </a:solidFill>
              </a:rPr>
              <a:t> VS Sold units</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5.0925337632079971E-17"/>
              <c:y val="6.8306010928961746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7777777777777779E-3"/>
              <c:y val="1.02459016393442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
              <c:y val="3.4153005464480561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7777777777777779E-3"/>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2.7777777777777779E-3"/>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
              <c:y val="3.4153005464480561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2.7777777777777779E-3"/>
              <c:y val="1.02459016393442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5.0925337632079971E-17"/>
              <c:y val="6.8306010928961746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2.7777777777777779E-3"/>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
              <c:y val="1.0245901639344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0"/>
              <c:y val="3.4153005464480561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2.7777777777777779E-3"/>
              <c:y val="1.02459016393442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Lbl>
          <c:idx val="0"/>
          <c:layout>
            <c:manualLayout>
              <c:x val="5.0925337632079971E-17"/>
              <c:y val="6.8306010928961746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Table1!$C$81</c:f>
              <c:strCache>
                <c:ptCount val="1"/>
                <c:pt idx="0">
                  <c:v>Units Sold</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dPt>
            <c:idx val="8"/>
            <c:invertIfNegative val="0"/>
            <c:bubble3D val="0"/>
            <c:extLst>
              <c:ext xmlns:c16="http://schemas.microsoft.com/office/drawing/2014/chart" uri="{C3380CC4-5D6E-409C-BE32-E72D297353CC}">
                <c16:uniqueId val="{00000000-C02C-4F9B-AE2B-50D0D666486A}"/>
              </c:ext>
            </c:extLst>
          </c:dPt>
          <c:dPt>
            <c:idx val="9"/>
            <c:invertIfNegative val="0"/>
            <c:bubble3D val="0"/>
            <c:extLst>
              <c:ext xmlns:c16="http://schemas.microsoft.com/office/drawing/2014/chart" uri="{C3380CC4-5D6E-409C-BE32-E72D297353CC}">
                <c16:uniqueId val="{00000001-C02C-4F9B-AE2B-50D0D666486A}"/>
              </c:ext>
            </c:extLst>
          </c:dPt>
          <c:dPt>
            <c:idx val="10"/>
            <c:invertIfNegative val="0"/>
            <c:bubble3D val="0"/>
            <c:extLst>
              <c:ext xmlns:c16="http://schemas.microsoft.com/office/drawing/2014/chart" uri="{C3380CC4-5D6E-409C-BE32-E72D297353CC}">
                <c16:uniqueId val="{00000002-C02C-4F9B-AE2B-50D0D666486A}"/>
              </c:ext>
            </c:extLst>
          </c:dPt>
          <c:dPt>
            <c:idx val="11"/>
            <c:invertIfNegative val="0"/>
            <c:bubble3D val="0"/>
            <c:extLst>
              <c:ext xmlns:c16="http://schemas.microsoft.com/office/drawing/2014/chart" uri="{C3380CC4-5D6E-409C-BE32-E72D297353CC}">
                <c16:uniqueId val="{00000003-C02C-4F9B-AE2B-50D0D666486A}"/>
              </c:ext>
            </c:extLst>
          </c:dPt>
          <c:dPt>
            <c:idx val="12"/>
            <c:invertIfNegative val="0"/>
            <c:bubble3D val="0"/>
            <c:extLst>
              <c:ext xmlns:c16="http://schemas.microsoft.com/office/drawing/2014/chart" uri="{C3380CC4-5D6E-409C-BE32-E72D297353CC}">
                <c16:uniqueId val="{00000004-C02C-4F9B-AE2B-50D0D666486A}"/>
              </c:ext>
            </c:extLst>
          </c:dPt>
          <c:dPt>
            <c:idx val="13"/>
            <c:invertIfNegative val="0"/>
            <c:bubble3D val="0"/>
            <c:extLst>
              <c:ext xmlns:c16="http://schemas.microsoft.com/office/drawing/2014/chart" uri="{C3380CC4-5D6E-409C-BE32-E72D297353CC}">
                <c16:uniqueId val="{00000005-C02C-4F9B-AE2B-50D0D666486A}"/>
              </c:ext>
            </c:extLst>
          </c:dPt>
          <c:dPt>
            <c:idx val="14"/>
            <c:invertIfNegative val="0"/>
            <c:bubble3D val="0"/>
            <c:extLst>
              <c:ext xmlns:c16="http://schemas.microsoft.com/office/drawing/2014/chart" uri="{C3380CC4-5D6E-409C-BE32-E72D297353CC}">
                <c16:uniqueId val="{00000006-C02C-4F9B-AE2B-50D0D666486A}"/>
              </c:ext>
            </c:extLst>
          </c:dPt>
          <c:dPt>
            <c:idx val="15"/>
            <c:invertIfNegative val="0"/>
            <c:bubble3D val="0"/>
            <c:extLst>
              <c:ext xmlns:c16="http://schemas.microsoft.com/office/drawing/2014/chart" uri="{C3380CC4-5D6E-409C-BE32-E72D297353CC}">
                <c16:uniqueId val="{00000007-C02C-4F9B-AE2B-50D0D666486A}"/>
              </c:ext>
            </c:extLst>
          </c:dPt>
          <c:dLbls>
            <c:dLbl>
              <c:idx val="8"/>
              <c:layout>
                <c:manualLayout>
                  <c:x val="0"/>
                  <c:y val="1.024590163934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F9B-AE2B-50D0D666486A}"/>
                </c:ext>
              </c:extLst>
            </c:dLbl>
            <c:dLbl>
              <c:idx val="9"/>
              <c:layout>
                <c:manualLayout>
                  <c:x val="0"/>
                  <c:y val="1.024590163934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F9B-AE2B-50D0D666486A}"/>
                </c:ext>
              </c:extLst>
            </c:dLbl>
            <c:dLbl>
              <c:idx val="10"/>
              <c:layout>
                <c:manualLayout>
                  <c:x val="0"/>
                  <c:y val="1.024590163934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2C-4F9B-AE2B-50D0D666486A}"/>
                </c:ext>
              </c:extLst>
            </c:dLbl>
            <c:dLbl>
              <c:idx val="11"/>
              <c:layout>
                <c:manualLayout>
                  <c:x val="2.7777777777777779E-3"/>
                  <c:y val="1.024590163934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2C-4F9B-AE2B-50D0D666486A}"/>
                </c:ext>
              </c:extLst>
            </c:dLbl>
            <c:dLbl>
              <c:idx val="12"/>
              <c:layout>
                <c:manualLayout>
                  <c:x val="0"/>
                  <c:y val="1.0245901639344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2C-4F9B-AE2B-50D0D666486A}"/>
                </c:ext>
              </c:extLst>
            </c:dLbl>
            <c:dLbl>
              <c:idx val="13"/>
              <c:layout>
                <c:manualLayout>
                  <c:x val="0"/>
                  <c:y val="3.415300546448056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2C-4F9B-AE2B-50D0D666486A}"/>
                </c:ext>
              </c:extLst>
            </c:dLbl>
            <c:dLbl>
              <c:idx val="14"/>
              <c:layout>
                <c:manualLayout>
                  <c:x val="2.7777777777777779E-3"/>
                  <c:y val="1.0245901639344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02C-4F9B-AE2B-50D0D666486A}"/>
                </c:ext>
              </c:extLst>
            </c:dLbl>
            <c:dLbl>
              <c:idx val="15"/>
              <c:layout>
                <c:manualLayout>
                  <c:x val="5.0925337632079971E-17"/>
                  <c:y val="6.83060109289617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2C-4F9B-AE2B-50D0D666486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Table1!$B$82:$B$98</c:f>
              <c:strCache>
                <c:ptCount val="16"/>
                <c:pt idx="0">
                  <c:v>Dresses C</c:v>
                </c:pt>
                <c:pt idx="1">
                  <c:v>Accessories D</c:v>
                </c:pt>
                <c:pt idx="2">
                  <c:v>Tops D</c:v>
                </c:pt>
                <c:pt idx="3">
                  <c:v>Dresses A</c:v>
                </c:pt>
                <c:pt idx="4">
                  <c:v>Tops C</c:v>
                </c:pt>
                <c:pt idx="5">
                  <c:v>Accessories A</c:v>
                </c:pt>
                <c:pt idx="6">
                  <c:v>Bottoms B</c:v>
                </c:pt>
                <c:pt idx="7">
                  <c:v>Dresses B</c:v>
                </c:pt>
                <c:pt idx="8">
                  <c:v>Accessories B</c:v>
                </c:pt>
                <c:pt idx="9">
                  <c:v>Tops A</c:v>
                </c:pt>
                <c:pt idx="10">
                  <c:v>Tops B</c:v>
                </c:pt>
                <c:pt idx="11">
                  <c:v>Bottoms A</c:v>
                </c:pt>
                <c:pt idx="12">
                  <c:v>Bottoms C</c:v>
                </c:pt>
                <c:pt idx="13">
                  <c:v>Accessories C</c:v>
                </c:pt>
                <c:pt idx="14">
                  <c:v>Dresses D</c:v>
                </c:pt>
                <c:pt idx="15">
                  <c:v>Bottoms D</c:v>
                </c:pt>
              </c:strCache>
            </c:strRef>
          </c:cat>
          <c:val>
            <c:numRef>
              <c:f>Table1!$C$82:$C$98</c:f>
              <c:numCache>
                <c:formatCode>General</c:formatCode>
                <c:ptCount val="16"/>
                <c:pt idx="0">
                  <c:v>2068</c:v>
                </c:pt>
                <c:pt idx="1">
                  <c:v>2192</c:v>
                </c:pt>
                <c:pt idx="2">
                  <c:v>2294</c:v>
                </c:pt>
                <c:pt idx="3">
                  <c:v>2454</c:v>
                </c:pt>
                <c:pt idx="4">
                  <c:v>2432</c:v>
                </c:pt>
                <c:pt idx="5">
                  <c:v>2436</c:v>
                </c:pt>
                <c:pt idx="6">
                  <c:v>2400</c:v>
                </c:pt>
                <c:pt idx="7">
                  <c:v>2485</c:v>
                </c:pt>
                <c:pt idx="8">
                  <c:v>2597</c:v>
                </c:pt>
                <c:pt idx="9">
                  <c:v>2627</c:v>
                </c:pt>
                <c:pt idx="10">
                  <c:v>2644</c:v>
                </c:pt>
                <c:pt idx="11">
                  <c:v>2578</c:v>
                </c:pt>
                <c:pt idx="12">
                  <c:v>2642</c:v>
                </c:pt>
                <c:pt idx="13">
                  <c:v>2778</c:v>
                </c:pt>
                <c:pt idx="14">
                  <c:v>2739</c:v>
                </c:pt>
                <c:pt idx="15">
                  <c:v>2882</c:v>
                </c:pt>
              </c:numCache>
            </c:numRef>
          </c:val>
          <c:extLst>
            <c:ext xmlns:c16="http://schemas.microsoft.com/office/drawing/2014/chart" uri="{C3380CC4-5D6E-409C-BE32-E72D297353CC}">
              <c16:uniqueId val="{00000008-C02C-4F9B-AE2B-50D0D666486A}"/>
            </c:ext>
          </c:extLst>
        </c:ser>
        <c:ser>
          <c:idx val="1"/>
          <c:order val="1"/>
          <c:tx>
            <c:strRef>
              <c:f>Table1!$D$81</c:f>
              <c:strCache>
                <c:ptCount val="1"/>
                <c:pt idx="0">
                  <c:v>Stock</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Table1!$B$82:$B$98</c:f>
              <c:strCache>
                <c:ptCount val="16"/>
                <c:pt idx="0">
                  <c:v>Dresses C</c:v>
                </c:pt>
                <c:pt idx="1">
                  <c:v>Accessories D</c:v>
                </c:pt>
                <c:pt idx="2">
                  <c:v>Tops D</c:v>
                </c:pt>
                <c:pt idx="3">
                  <c:v>Dresses A</c:v>
                </c:pt>
                <c:pt idx="4">
                  <c:v>Tops C</c:v>
                </c:pt>
                <c:pt idx="5">
                  <c:v>Accessories A</c:v>
                </c:pt>
                <c:pt idx="6">
                  <c:v>Bottoms B</c:v>
                </c:pt>
                <c:pt idx="7">
                  <c:v>Dresses B</c:v>
                </c:pt>
                <c:pt idx="8">
                  <c:v>Accessories B</c:v>
                </c:pt>
                <c:pt idx="9">
                  <c:v>Tops A</c:v>
                </c:pt>
                <c:pt idx="10">
                  <c:v>Tops B</c:v>
                </c:pt>
                <c:pt idx="11">
                  <c:v>Bottoms A</c:v>
                </c:pt>
                <c:pt idx="12">
                  <c:v>Bottoms C</c:v>
                </c:pt>
                <c:pt idx="13">
                  <c:v>Accessories C</c:v>
                </c:pt>
                <c:pt idx="14">
                  <c:v>Dresses D</c:v>
                </c:pt>
                <c:pt idx="15">
                  <c:v>Bottoms D</c:v>
                </c:pt>
              </c:strCache>
            </c:strRef>
          </c:cat>
          <c:val>
            <c:numRef>
              <c:f>Table1!$D$82:$D$98</c:f>
              <c:numCache>
                <c:formatCode>General</c:formatCode>
                <c:ptCount val="16"/>
                <c:pt idx="0">
                  <c:v>8087</c:v>
                </c:pt>
                <c:pt idx="1">
                  <c:v>8732</c:v>
                </c:pt>
                <c:pt idx="2">
                  <c:v>9229</c:v>
                </c:pt>
                <c:pt idx="3">
                  <c:v>9326</c:v>
                </c:pt>
                <c:pt idx="4">
                  <c:v>9429</c:v>
                </c:pt>
                <c:pt idx="5">
                  <c:v>9871</c:v>
                </c:pt>
                <c:pt idx="6">
                  <c:v>9896</c:v>
                </c:pt>
                <c:pt idx="7">
                  <c:v>10185</c:v>
                </c:pt>
                <c:pt idx="8">
                  <c:v>10195</c:v>
                </c:pt>
                <c:pt idx="9">
                  <c:v>10215</c:v>
                </c:pt>
                <c:pt idx="10">
                  <c:v>10317</c:v>
                </c:pt>
                <c:pt idx="11">
                  <c:v>10344</c:v>
                </c:pt>
                <c:pt idx="12">
                  <c:v>10598</c:v>
                </c:pt>
                <c:pt idx="13">
                  <c:v>10950</c:v>
                </c:pt>
                <c:pt idx="14">
                  <c:v>10974</c:v>
                </c:pt>
                <c:pt idx="15">
                  <c:v>11505</c:v>
                </c:pt>
              </c:numCache>
            </c:numRef>
          </c:val>
          <c:extLst>
            <c:ext xmlns:c16="http://schemas.microsoft.com/office/drawing/2014/chart" uri="{C3380CC4-5D6E-409C-BE32-E72D297353CC}">
              <c16:uniqueId val="{00000009-C02C-4F9B-AE2B-50D0D666486A}"/>
            </c:ext>
          </c:extLst>
        </c:ser>
        <c:dLbls>
          <c:showLegendKey val="0"/>
          <c:showVal val="1"/>
          <c:showCatName val="0"/>
          <c:showSerName val="0"/>
          <c:showPercent val="0"/>
          <c:showBubbleSize val="0"/>
        </c:dLbls>
        <c:gapWidth val="100"/>
        <c:axId val="1305834648"/>
        <c:axId val="1305833664"/>
      </c:barChart>
      <c:catAx>
        <c:axId val="13058346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crossAx val="1305833664"/>
        <c:crosses val="autoZero"/>
        <c:auto val="1"/>
        <c:lblAlgn val="ctr"/>
        <c:lblOffset val="100"/>
        <c:noMultiLvlLbl val="0"/>
      </c:catAx>
      <c:valAx>
        <c:axId val="1305833664"/>
        <c:scaling>
          <c:orientation val="minMax"/>
        </c:scaling>
        <c:delete val="1"/>
        <c:axPos val="b"/>
        <c:numFmt formatCode="General" sourceLinked="1"/>
        <c:majorTickMark val="none"/>
        <c:minorTickMark val="none"/>
        <c:tickLblPos val="nextTo"/>
        <c:crossAx val="1305834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2700000" algn="tl" rotWithShape="0">
        <a:schemeClr val="accent1">
          <a:lumMod val="40000"/>
          <a:lumOff val="6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[Chic Boutiqe Apparel1.xlsx]Table1!PivotTable14</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1">
                <a:solidFill>
                  <a:schemeClr val="accent1">
                    <a:lumMod val="75000"/>
                  </a:schemeClr>
                </a:solidFill>
              </a:rPr>
              <a:t>TOTAL REVENUE</a:t>
            </a:r>
            <a:r>
              <a:rPr lang="en-US" sz="1600" b="1" baseline="0">
                <a:solidFill>
                  <a:schemeClr val="accent1">
                    <a:lumMod val="75000"/>
                  </a:schemeClr>
                </a:solidFill>
              </a:rPr>
              <a:t> BY MONTH</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Table1!$C$147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Table1!$B$148:$B$160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Table1!$C$148:$C$160</c:f>
              <c:numCache>
                <c:formatCode>\$#,##0.00;\(\$#,##0.00\);\$#,##0.00</c:formatCode>
                <c:ptCount val="12"/>
                <c:pt idx="0">
                  <c:v>160946.14000000001</c:v>
                </c:pt>
                <c:pt idx="1">
                  <c:v>165230.98000000001</c:v>
                </c:pt>
                <c:pt idx="2">
                  <c:v>175423.72</c:v>
                </c:pt>
                <c:pt idx="3">
                  <c:v>183729.05</c:v>
                </c:pt>
                <c:pt idx="4">
                  <c:v>166900.42000000001</c:v>
                </c:pt>
                <c:pt idx="5">
                  <c:v>177065.26</c:v>
                </c:pt>
                <c:pt idx="6">
                  <c:v>196426.35</c:v>
                </c:pt>
                <c:pt idx="7">
                  <c:v>167662.32</c:v>
                </c:pt>
                <c:pt idx="8">
                  <c:v>178031.22</c:v>
                </c:pt>
                <c:pt idx="9">
                  <c:v>189592.39</c:v>
                </c:pt>
                <c:pt idx="10">
                  <c:v>150154.72</c:v>
                </c:pt>
                <c:pt idx="11">
                  <c:v>214721.98</c:v>
                </c:pt>
              </c:numCache>
            </c:numRef>
          </c:val>
          <c:extLst>
            <c:ext xmlns:c16="http://schemas.microsoft.com/office/drawing/2014/chart" uri="{C3380CC4-5D6E-409C-BE32-E72D297353CC}">
              <c16:uniqueId val="{00000000-3B74-48EA-9B54-CBBCB3743B40}"/>
            </c:ext>
          </c:extLst>
        </c:ser>
        <c:dLbls>
          <c:showLegendKey val="0"/>
          <c:showVal val="0"/>
          <c:showCatName val="0"/>
          <c:showSerName val="0"/>
          <c:showPercent val="0"/>
          <c:showBubbleSize val="0"/>
        </c:dLbls>
        <c:axId val="822627176"/>
        <c:axId val="822623896"/>
      </c:areaChart>
      <c:catAx>
        <c:axId val="822627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crossAx val="822623896"/>
        <c:crosses val="autoZero"/>
        <c:auto val="1"/>
        <c:lblAlgn val="ctr"/>
        <c:lblOffset val="100"/>
        <c:noMultiLvlLbl val="0"/>
      </c:catAx>
      <c:valAx>
        <c:axId val="822623896"/>
        <c:scaling>
          <c:orientation val="minMax"/>
        </c:scaling>
        <c:delete val="1"/>
        <c:axPos val="l"/>
        <c:numFmt formatCode="\$#,##0.00;\(\$#,##0.00\);\$#,##0.00" sourceLinked="1"/>
        <c:majorTickMark val="none"/>
        <c:minorTickMark val="none"/>
        <c:tickLblPos val="nextTo"/>
        <c:crossAx val="822627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350520</xdr:colOff>
      <xdr:row>5</xdr:row>
      <xdr:rowOff>121920</xdr:rowOff>
    </xdr:from>
    <xdr:to>
      <xdr:col>10</xdr:col>
      <xdr:colOff>594360</xdr:colOff>
      <xdr:row>26</xdr:row>
      <xdr:rowOff>38100</xdr:rowOff>
    </xdr:to>
    <xdr:graphicFrame macro="">
      <xdr:nvGraphicFramePr>
        <xdr:cNvPr id="2" name="Chart 1">
          <a:extLst>
            <a:ext uri="{FF2B5EF4-FFF2-40B4-BE49-F238E27FC236}">
              <a16:creationId xmlns:a16="http://schemas.microsoft.com/office/drawing/2014/main" id="{E6E4718E-ED54-4C11-A9C0-CB14B3B1C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190500</xdr:colOff>
      <xdr:row>28</xdr:row>
      <xdr:rowOff>53340</xdr:rowOff>
    </xdr:from>
    <xdr:to>
      <xdr:col>11</xdr:col>
      <xdr:colOff>182880</xdr:colOff>
      <xdr:row>42</xdr:row>
      <xdr:rowOff>3810</xdr:rowOff>
    </xdr:to>
    <xdr:graphicFrame macro="">
      <xdr:nvGraphicFramePr>
        <xdr:cNvPr id="3" name="Chart 2">
          <a:extLst>
            <a:ext uri="{FF2B5EF4-FFF2-40B4-BE49-F238E27FC236}">
              <a16:creationId xmlns:a16="http://schemas.microsoft.com/office/drawing/2014/main" id="{D29C52BE-EB63-45D4-9A22-2B34E5196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701040</xdr:colOff>
      <xdr:row>43</xdr:row>
      <xdr:rowOff>87630</xdr:rowOff>
    </xdr:from>
    <xdr:to>
      <xdr:col>10</xdr:col>
      <xdr:colOff>731520</xdr:colOff>
      <xdr:row>58</xdr:row>
      <xdr:rowOff>87630</xdr:rowOff>
    </xdr:to>
    <xdr:graphicFrame macro="">
      <xdr:nvGraphicFramePr>
        <xdr:cNvPr id="4" name="Chart 3">
          <a:extLst>
            <a:ext uri="{FF2B5EF4-FFF2-40B4-BE49-F238E27FC236}">
              <a16:creationId xmlns:a16="http://schemas.microsoft.com/office/drawing/2014/main" id="{9A5BDD1B-143C-425F-AB85-AB86A33FB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731520</xdr:colOff>
      <xdr:row>59</xdr:row>
      <xdr:rowOff>64770</xdr:rowOff>
    </xdr:from>
    <xdr:to>
      <xdr:col>11</xdr:col>
      <xdr:colOff>495300</xdr:colOff>
      <xdr:row>74</xdr:row>
      <xdr:rowOff>64770</xdr:rowOff>
    </xdr:to>
    <xdr:graphicFrame macro="">
      <xdr:nvGraphicFramePr>
        <xdr:cNvPr id="5" name="Chart 4">
          <a:extLst>
            <a:ext uri="{FF2B5EF4-FFF2-40B4-BE49-F238E27FC236}">
              <a16:creationId xmlns:a16="http://schemas.microsoft.com/office/drawing/2014/main" id="{33C8322B-C0A9-4C65-9D0D-7F0A89A7D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952500</xdr:colOff>
      <xdr:row>75</xdr:row>
      <xdr:rowOff>144780</xdr:rowOff>
    </xdr:from>
    <xdr:to>
      <xdr:col>10</xdr:col>
      <xdr:colOff>327660</xdr:colOff>
      <xdr:row>96</xdr:row>
      <xdr:rowOff>22860</xdr:rowOff>
    </xdr:to>
    <xdr:graphicFrame macro="">
      <xdr:nvGraphicFramePr>
        <xdr:cNvPr id="6" name="Chart 5">
          <a:extLst>
            <a:ext uri="{FF2B5EF4-FFF2-40B4-BE49-F238E27FC236}">
              <a16:creationId xmlns:a16="http://schemas.microsoft.com/office/drawing/2014/main" id="{E9B0C709-1194-423A-9892-F33A5F40F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609600</xdr:colOff>
      <xdr:row>98</xdr:row>
      <xdr:rowOff>64770</xdr:rowOff>
    </xdr:from>
    <xdr:to>
      <xdr:col>11</xdr:col>
      <xdr:colOff>320040</xdr:colOff>
      <xdr:row>113</xdr:row>
      <xdr:rowOff>64770</xdr:rowOff>
    </xdr:to>
    <xdr:graphicFrame macro="">
      <xdr:nvGraphicFramePr>
        <xdr:cNvPr id="7" name="Chart 6">
          <a:extLst>
            <a:ext uri="{FF2B5EF4-FFF2-40B4-BE49-F238E27FC236}">
              <a16:creationId xmlns:a16="http://schemas.microsoft.com/office/drawing/2014/main" id="{63E71891-B331-4F2A-AE34-299094BA6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464820</xdr:colOff>
      <xdr:row>116</xdr:row>
      <xdr:rowOff>152400</xdr:rowOff>
    </xdr:from>
    <xdr:to>
      <xdr:col>12</xdr:col>
      <xdr:colOff>198120</xdr:colOff>
      <xdr:row>134</xdr:row>
      <xdr:rowOff>175260</xdr:rowOff>
    </xdr:to>
    <xdr:graphicFrame macro="">
      <xdr:nvGraphicFramePr>
        <xdr:cNvPr id="8" name="Chart 7">
          <a:extLst>
            <a:ext uri="{FF2B5EF4-FFF2-40B4-BE49-F238E27FC236}">
              <a16:creationId xmlns:a16="http://schemas.microsoft.com/office/drawing/2014/main" id="{79F9B3A6-CF5D-415C-8058-78888AE63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358140</xdr:colOff>
      <xdr:row>142</xdr:row>
      <xdr:rowOff>87630</xdr:rowOff>
    </xdr:from>
    <xdr:to>
      <xdr:col>14</xdr:col>
      <xdr:colOff>396240</xdr:colOff>
      <xdr:row>157</xdr:row>
      <xdr:rowOff>87630</xdr:rowOff>
    </xdr:to>
    <xdr:graphicFrame macro="">
      <xdr:nvGraphicFramePr>
        <xdr:cNvPr id="9" name="Chart 8">
          <a:extLst>
            <a:ext uri="{FF2B5EF4-FFF2-40B4-BE49-F238E27FC236}">
              <a16:creationId xmlns:a16="http://schemas.microsoft.com/office/drawing/2014/main" id="{028B7EF2-DD81-44E2-9FA7-3E8177200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563880</xdr:colOff>
      <xdr:row>158</xdr:row>
      <xdr:rowOff>175260</xdr:rowOff>
    </xdr:from>
    <xdr:to>
      <xdr:col>9</xdr:col>
      <xdr:colOff>99060</xdr:colOff>
      <xdr:row>172</xdr:row>
      <xdr:rowOff>81915</xdr:rowOff>
    </xdr:to>
    <mc:AlternateContent xmlns:mc="http://schemas.openxmlformats.org/markup-compatibility/2006">
      <mc:Choice xmlns:a14="http://schemas.microsoft.com/office/drawing/2010/main" Requires="a14">
        <xdr:graphicFrame macro="">
          <xdr:nvGraphicFramePr>
            <xdr:cNvPr id="10" name="Date (Month)">
              <a:extLst>
                <a:ext uri="{FF2B5EF4-FFF2-40B4-BE49-F238E27FC236}">
                  <a16:creationId xmlns:a16="http://schemas.microsoft.com/office/drawing/2014/main" id="{5412DDFF-F3D7-4025-B082-4B75318DCF9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5455920" y="29070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480060</xdr:colOff>
      <xdr:row>158</xdr:row>
      <xdr:rowOff>152400</xdr:rowOff>
    </xdr:from>
    <xdr:to>
      <xdr:col>14</xdr:col>
      <xdr:colOff>53340</xdr:colOff>
      <xdr:row>172</xdr:row>
      <xdr:rowOff>91440</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EA4B458E-6D63-47DC-9BFD-8B1CA31B779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663940" y="29047440"/>
              <a:ext cx="2468880" cy="2499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335280</xdr:colOff>
      <xdr:row>163</xdr:row>
      <xdr:rowOff>106680</xdr:rowOff>
    </xdr:from>
    <xdr:to>
      <xdr:col>5</xdr:col>
      <xdr:colOff>830580</xdr:colOff>
      <xdr:row>167</xdr:row>
      <xdr:rowOff>53340</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063F1CE5-7D67-483A-B57A-1072F3AE49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5280" y="29916120"/>
              <a:ext cx="4533900" cy="678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144778</xdr:colOff>
      <xdr:row>0</xdr:row>
      <xdr:rowOff>54430</xdr:rowOff>
    </xdr:from>
    <xdr:to>
      <xdr:col>31</xdr:col>
      <xdr:colOff>217714</xdr:colOff>
      <xdr:row>41</xdr:row>
      <xdr:rowOff>162560</xdr:rowOff>
    </xdr:to>
    <xdr:sp macro="" textlink="">
      <xdr:nvSpPr>
        <xdr:cNvPr id="3" name="Rectangle: Rounded Corners 2">
          <a:extLst>
            <a:ext uri="{FF2B5EF4-FFF2-40B4-BE49-F238E27FC236}">
              <a16:creationId xmlns:a16="http://schemas.microsoft.com/office/drawing/2014/main" id="{592F34BF-6D0F-47DA-BB5C-D72987AEFDFC}"/>
            </a:ext>
          </a:extLst>
        </xdr:cNvPr>
        <xdr:cNvSpPr/>
      </xdr:nvSpPr>
      <xdr:spPr>
        <a:xfrm>
          <a:off x="144778" y="54430"/>
          <a:ext cx="18970536" cy="7606210"/>
        </a:xfrm>
        <a:prstGeom prst="roundRect">
          <a:avLst/>
        </a:prstGeom>
        <a:gradFill>
          <a:gsLst>
            <a:gs pos="0">
              <a:schemeClr val="accent1">
                <a:lumMod val="20000"/>
                <a:lumOff val="80000"/>
              </a:schemeClr>
            </a:gs>
            <a:gs pos="74000">
              <a:schemeClr val="accent1">
                <a:lumMod val="75000"/>
              </a:schemeClr>
            </a:gs>
            <a:gs pos="83000">
              <a:schemeClr val="accent1">
                <a:lumMod val="75000"/>
              </a:schemeClr>
            </a:gs>
            <a:gs pos="100000">
              <a:schemeClr val="accent1">
                <a:lumMod val="50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566166</xdr:colOff>
      <xdr:row>3</xdr:row>
      <xdr:rowOff>177165</xdr:rowOff>
    </xdr:from>
    <xdr:to>
      <xdr:col>18</xdr:col>
      <xdr:colOff>17526</xdr:colOff>
      <xdr:row>7</xdr:row>
      <xdr:rowOff>85725</xdr:rowOff>
    </xdr:to>
    <xdr:sp macro="" textlink="Table1!$H$4">
      <xdr:nvSpPr>
        <xdr:cNvPr id="4" name="Rectangle: Rounded Corners 3">
          <a:extLst>
            <a:ext uri="{FF2B5EF4-FFF2-40B4-BE49-F238E27FC236}">
              <a16:creationId xmlns:a16="http://schemas.microsoft.com/office/drawing/2014/main" id="{78CDD99A-2A57-4361-9DF5-5122E9B53392}"/>
            </a:ext>
          </a:extLst>
        </xdr:cNvPr>
        <xdr:cNvSpPr/>
      </xdr:nvSpPr>
      <xdr:spPr>
        <a:xfrm>
          <a:off x="9710166" y="725805"/>
          <a:ext cx="1280160" cy="64008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u="none" strike="noStrike">
              <a:solidFill>
                <a:schemeClr val="accent1">
                  <a:lumMod val="75000"/>
                </a:schemeClr>
              </a:solidFill>
              <a:latin typeface="+mn-lt"/>
              <a:ea typeface="Calibri"/>
              <a:cs typeface="Calibri"/>
            </a:rPr>
            <a:t>Total Sold Units</a:t>
          </a:r>
          <a:br>
            <a:rPr lang="en-US" sz="1200" b="0" i="0" u="none" strike="noStrike">
              <a:solidFill>
                <a:schemeClr val="accent1">
                  <a:lumMod val="75000"/>
                </a:schemeClr>
              </a:solidFill>
              <a:latin typeface="+mn-lt"/>
              <a:ea typeface="Calibri"/>
              <a:cs typeface="Calibri"/>
            </a:rPr>
          </a:br>
          <a:fld id="{A9B02151-0045-48F6-A0D9-5AC4F53AC0B2}" type="TxLink">
            <a:rPr lang="en-US" sz="1200" b="0" i="0" u="none" strike="noStrike">
              <a:solidFill>
                <a:schemeClr val="accent1">
                  <a:lumMod val="75000"/>
                </a:schemeClr>
              </a:solidFill>
              <a:latin typeface="+mn-lt"/>
              <a:ea typeface="Calibri"/>
              <a:cs typeface="Calibri"/>
            </a:rPr>
            <a:pPr marL="0" indent="0" algn="ctr"/>
            <a:t>40248</a:t>
          </a:fld>
          <a:endParaRPr lang="en-US" sz="1200" b="0" i="0" u="none" strike="noStrike">
            <a:solidFill>
              <a:schemeClr val="accent1">
                <a:lumMod val="75000"/>
              </a:schemeClr>
            </a:solidFill>
            <a:latin typeface="+mn-lt"/>
            <a:ea typeface="Calibri"/>
            <a:cs typeface="Calibri"/>
          </a:endParaRPr>
        </a:p>
      </xdr:txBody>
    </xdr:sp>
    <xdr:clientData/>
  </xdr:twoCellAnchor>
  <xdr:twoCellAnchor>
    <xdr:from>
      <xdr:col>8</xdr:col>
      <xdr:colOff>179070</xdr:colOff>
      <xdr:row>3</xdr:row>
      <xdr:rowOff>154305</xdr:rowOff>
    </xdr:from>
    <xdr:to>
      <xdr:col>10</xdr:col>
      <xdr:colOff>240030</xdr:colOff>
      <xdr:row>7</xdr:row>
      <xdr:rowOff>62865</xdr:rowOff>
    </xdr:to>
    <xdr:sp macro="" textlink="Table1!$B$4">
      <xdr:nvSpPr>
        <xdr:cNvPr id="5" name="Rectangle: Rounded Corners 4">
          <a:extLst>
            <a:ext uri="{FF2B5EF4-FFF2-40B4-BE49-F238E27FC236}">
              <a16:creationId xmlns:a16="http://schemas.microsoft.com/office/drawing/2014/main" id="{1F1F2559-38B0-4F07-8C99-59254DD64914}"/>
            </a:ext>
          </a:extLst>
        </xdr:cNvPr>
        <xdr:cNvSpPr/>
      </xdr:nvSpPr>
      <xdr:spPr>
        <a:xfrm>
          <a:off x="5055870" y="702945"/>
          <a:ext cx="1280160" cy="64008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accent1">
                  <a:lumMod val="75000"/>
                </a:schemeClr>
              </a:solidFill>
              <a:latin typeface="+mn-lt"/>
              <a:ea typeface="Calibri"/>
              <a:cs typeface="Calibri"/>
            </a:rPr>
            <a:t>Total</a:t>
          </a:r>
          <a:r>
            <a:rPr lang="en-US" sz="1200" b="0" i="0" u="none" strike="noStrike" baseline="0">
              <a:solidFill>
                <a:schemeClr val="accent1">
                  <a:lumMod val="75000"/>
                </a:schemeClr>
              </a:solidFill>
              <a:latin typeface="+mn-lt"/>
              <a:ea typeface="Calibri"/>
              <a:cs typeface="Calibri"/>
            </a:rPr>
            <a:t> Revenue</a:t>
          </a:r>
          <a:br>
            <a:rPr lang="en-US" sz="1200" b="0" i="0" u="none" strike="noStrike">
              <a:solidFill>
                <a:schemeClr val="accent1">
                  <a:lumMod val="75000"/>
                </a:schemeClr>
              </a:solidFill>
              <a:latin typeface="+mn-lt"/>
              <a:ea typeface="Calibri"/>
              <a:cs typeface="Calibri"/>
            </a:rPr>
          </a:br>
          <a:fld id="{C1F503CB-B405-408F-A8C4-C93457745BFA}" type="TxLink">
            <a:rPr lang="en-US" sz="1200" b="0" i="0" u="none" strike="noStrike">
              <a:solidFill>
                <a:schemeClr val="accent1">
                  <a:lumMod val="75000"/>
                </a:schemeClr>
              </a:solidFill>
              <a:latin typeface="Calibri"/>
              <a:ea typeface="Calibri"/>
              <a:cs typeface="Calibri"/>
            </a:rPr>
            <a:pPr algn="ctr"/>
            <a:t>$2,125,884.55</a:t>
          </a:fld>
          <a:endParaRPr lang="en-US" sz="1200">
            <a:solidFill>
              <a:schemeClr val="accent1">
                <a:lumMod val="75000"/>
              </a:schemeClr>
            </a:solidFill>
          </a:endParaRPr>
        </a:p>
      </xdr:txBody>
    </xdr:sp>
    <xdr:clientData/>
  </xdr:twoCellAnchor>
  <xdr:twoCellAnchor>
    <xdr:from>
      <xdr:col>20</xdr:col>
      <xdr:colOff>575310</xdr:colOff>
      <xdr:row>4</xdr:row>
      <xdr:rowOff>1905</xdr:rowOff>
    </xdr:from>
    <xdr:to>
      <xdr:col>23</xdr:col>
      <xdr:colOff>26670</xdr:colOff>
      <xdr:row>7</xdr:row>
      <xdr:rowOff>93345</xdr:rowOff>
    </xdr:to>
    <xdr:sp macro="" textlink="Table1!$L$4">
      <xdr:nvSpPr>
        <xdr:cNvPr id="6" name="Rectangle: Rounded Corners 5">
          <a:extLst>
            <a:ext uri="{FF2B5EF4-FFF2-40B4-BE49-F238E27FC236}">
              <a16:creationId xmlns:a16="http://schemas.microsoft.com/office/drawing/2014/main" id="{1CAA3791-2244-4C15-94F8-F3EB692BDB2E}"/>
            </a:ext>
          </a:extLst>
        </xdr:cNvPr>
        <xdr:cNvSpPr/>
      </xdr:nvSpPr>
      <xdr:spPr>
        <a:xfrm>
          <a:off x="12767310" y="733425"/>
          <a:ext cx="1280160" cy="64008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u="none" strike="noStrike">
              <a:solidFill>
                <a:schemeClr val="accent1">
                  <a:lumMod val="75000"/>
                </a:schemeClr>
              </a:solidFill>
              <a:latin typeface="+mn-lt"/>
              <a:ea typeface="Calibri"/>
              <a:cs typeface="Calibri"/>
            </a:rPr>
            <a:t>Total Products</a:t>
          </a:r>
          <a:br>
            <a:rPr lang="en-US" sz="1200" b="0" i="0" u="none" strike="noStrike">
              <a:solidFill>
                <a:schemeClr val="accent1">
                  <a:lumMod val="75000"/>
                </a:schemeClr>
              </a:solidFill>
              <a:latin typeface="+mn-lt"/>
              <a:ea typeface="Calibri"/>
              <a:cs typeface="Calibri"/>
            </a:rPr>
          </a:br>
          <a:fld id="{4F169607-6226-4220-9801-9AAF546AFDF4}" type="TxLink">
            <a:rPr lang="en-US" sz="1200" b="0" i="0" u="none" strike="noStrike">
              <a:solidFill>
                <a:schemeClr val="accent1">
                  <a:lumMod val="75000"/>
                </a:schemeClr>
              </a:solidFill>
              <a:latin typeface="+mn-lt"/>
              <a:ea typeface="Calibri"/>
              <a:cs typeface="Calibri"/>
            </a:rPr>
            <a:pPr marL="0" indent="0" algn="ctr"/>
            <a:t>16</a:t>
          </a:fld>
          <a:endParaRPr lang="en-US" sz="1200" b="0" i="0" u="none" strike="noStrike">
            <a:solidFill>
              <a:schemeClr val="accent1">
                <a:lumMod val="75000"/>
              </a:schemeClr>
            </a:solidFill>
            <a:latin typeface="+mn-lt"/>
            <a:ea typeface="Calibri"/>
            <a:cs typeface="Calibri"/>
          </a:endParaRPr>
        </a:p>
      </xdr:txBody>
    </xdr:sp>
    <xdr:clientData/>
  </xdr:twoCellAnchor>
  <xdr:twoCellAnchor>
    <xdr:from>
      <xdr:col>18</xdr:col>
      <xdr:colOff>258318</xdr:colOff>
      <xdr:row>4</xdr:row>
      <xdr:rowOff>1905</xdr:rowOff>
    </xdr:from>
    <xdr:to>
      <xdr:col>20</xdr:col>
      <xdr:colOff>319278</xdr:colOff>
      <xdr:row>7</xdr:row>
      <xdr:rowOff>93345</xdr:rowOff>
    </xdr:to>
    <xdr:sp macro="" textlink="Table1!$J$4">
      <xdr:nvSpPr>
        <xdr:cNvPr id="7" name="Rectangle: Rounded Corners 6">
          <a:extLst>
            <a:ext uri="{FF2B5EF4-FFF2-40B4-BE49-F238E27FC236}">
              <a16:creationId xmlns:a16="http://schemas.microsoft.com/office/drawing/2014/main" id="{BCA8A240-92BF-4477-A652-ABD81F9744BC}"/>
            </a:ext>
          </a:extLst>
        </xdr:cNvPr>
        <xdr:cNvSpPr/>
      </xdr:nvSpPr>
      <xdr:spPr>
        <a:xfrm>
          <a:off x="11231118" y="733425"/>
          <a:ext cx="1280160" cy="64008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u="none" strike="noStrike">
              <a:solidFill>
                <a:schemeClr val="accent1">
                  <a:lumMod val="75000"/>
                </a:schemeClr>
              </a:solidFill>
              <a:latin typeface="+mn-lt"/>
              <a:ea typeface="Calibri"/>
              <a:cs typeface="Calibri"/>
            </a:rPr>
            <a:t>Total Categories</a:t>
          </a:r>
          <a:br>
            <a:rPr lang="en-US" sz="1200" b="0" i="0" u="none" strike="noStrike">
              <a:solidFill>
                <a:schemeClr val="accent1">
                  <a:lumMod val="75000"/>
                </a:schemeClr>
              </a:solidFill>
              <a:latin typeface="+mn-lt"/>
              <a:ea typeface="Calibri"/>
              <a:cs typeface="Calibri"/>
            </a:rPr>
          </a:br>
          <a:fld id="{6DF13BF1-FCBD-416B-856E-08E6776E938C}" type="TxLink">
            <a:rPr lang="en-US" sz="1200" b="0" i="0" u="none" strike="noStrike">
              <a:solidFill>
                <a:schemeClr val="accent1">
                  <a:lumMod val="75000"/>
                </a:schemeClr>
              </a:solidFill>
              <a:latin typeface="+mn-lt"/>
              <a:ea typeface="Calibri"/>
              <a:cs typeface="Calibri"/>
            </a:rPr>
            <a:pPr marL="0" indent="0" algn="ctr"/>
            <a:t>4</a:t>
          </a:fld>
          <a:endParaRPr lang="en-US" sz="1200" b="0" i="0" u="none" strike="noStrike">
            <a:solidFill>
              <a:schemeClr val="accent1">
                <a:lumMod val="75000"/>
              </a:schemeClr>
            </a:solidFill>
            <a:latin typeface="+mn-lt"/>
            <a:ea typeface="Calibri"/>
            <a:cs typeface="Calibri"/>
          </a:endParaRPr>
        </a:p>
      </xdr:txBody>
    </xdr:sp>
    <xdr:clientData/>
  </xdr:twoCellAnchor>
  <xdr:twoCellAnchor>
    <xdr:from>
      <xdr:col>10</xdr:col>
      <xdr:colOff>496062</xdr:colOff>
      <xdr:row>3</xdr:row>
      <xdr:rowOff>169545</xdr:rowOff>
    </xdr:from>
    <xdr:to>
      <xdr:col>12</xdr:col>
      <xdr:colOff>557022</xdr:colOff>
      <xdr:row>7</xdr:row>
      <xdr:rowOff>78105</xdr:rowOff>
    </xdr:to>
    <xdr:sp macro="" textlink="Table1!$D$4">
      <xdr:nvSpPr>
        <xdr:cNvPr id="8" name="Rectangle: Rounded Corners 7">
          <a:extLst>
            <a:ext uri="{FF2B5EF4-FFF2-40B4-BE49-F238E27FC236}">
              <a16:creationId xmlns:a16="http://schemas.microsoft.com/office/drawing/2014/main" id="{54A43B21-022D-41E7-B11B-D22C32C904C5}"/>
            </a:ext>
          </a:extLst>
        </xdr:cNvPr>
        <xdr:cNvSpPr/>
      </xdr:nvSpPr>
      <xdr:spPr>
        <a:xfrm>
          <a:off x="6592062" y="718185"/>
          <a:ext cx="1280160" cy="64008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u="none" strike="noStrike">
              <a:solidFill>
                <a:schemeClr val="accent1">
                  <a:lumMod val="75000"/>
                </a:schemeClr>
              </a:solidFill>
              <a:latin typeface="+mn-lt"/>
              <a:ea typeface="Calibri"/>
              <a:cs typeface="Calibri"/>
            </a:rPr>
            <a:t>Total Profit</a:t>
          </a:r>
          <a:br>
            <a:rPr lang="en-US" sz="1200" b="0" i="0" u="none" strike="noStrike">
              <a:solidFill>
                <a:schemeClr val="accent1">
                  <a:lumMod val="75000"/>
                </a:schemeClr>
              </a:solidFill>
              <a:latin typeface="+mn-lt"/>
              <a:ea typeface="Calibri"/>
              <a:cs typeface="Calibri"/>
            </a:rPr>
          </a:br>
          <a:fld id="{165ED832-499F-4D2C-95D6-5478F1BAEA46}" type="TxLink">
            <a:rPr lang="en-US" sz="1200" b="0" i="0" u="none" strike="noStrike">
              <a:solidFill>
                <a:schemeClr val="accent1">
                  <a:lumMod val="75000"/>
                </a:schemeClr>
              </a:solidFill>
              <a:latin typeface="+mn-lt"/>
              <a:ea typeface="Calibri"/>
              <a:cs typeface="Calibri"/>
            </a:rPr>
            <a:pPr marL="0" indent="0" algn="ctr"/>
            <a:t>$745,327.77</a:t>
          </a:fld>
          <a:endParaRPr lang="en-US" sz="1200" b="0" i="0" u="none" strike="noStrike">
            <a:solidFill>
              <a:schemeClr val="accent1">
                <a:lumMod val="75000"/>
              </a:schemeClr>
            </a:solidFill>
            <a:latin typeface="+mn-lt"/>
            <a:ea typeface="Calibri"/>
            <a:cs typeface="Calibri"/>
          </a:endParaRPr>
        </a:p>
      </xdr:txBody>
    </xdr:sp>
    <xdr:clientData/>
  </xdr:twoCellAnchor>
  <xdr:twoCellAnchor>
    <xdr:from>
      <xdr:col>13</xdr:col>
      <xdr:colOff>211074</xdr:colOff>
      <xdr:row>3</xdr:row>
      <xdr:rowOff>161925</xdr:rowOff>
    </xdr:from>
    <xdr:to>
      <xdr:col>15</xdr:col>
      <xdr:colOff>272034</xdr:colOff>
      <xdr:row>7</xdr:row>
      <xdr:rowOff>70485</xdr:rowOff>
    </xdr:to>
    <xdr:sp macro="" textlink="Table1!$F$4">
      <xdr:nvSpPr>
        <xdr:cNvPr id="9" name="Rectangle: Rounded Corners 8">
          <a:extLst>
            <a:ext uri="{FF2B5EF4-FFF2-40B4-BE49-F238E27FC236}">
              <a16:creationId xmlns:a16="http://schemas.microsoft.com/office/drawing/2014/main" id="{086CAF55-F142-4AA5-B456-25A091D8A672}"/>
            </a:ext>
          </a:extLst>
        </xdr:cNvPr>
        <xdr:cNvSpPr/>
      </xdr:nvSpPr>
      <xdr:spPr>
        <a:xfrm>
          <a:off x="8135874" y="710565"/>
          <a:ext cx="1280160" cy="64008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u="none" strike="noStrike">
              <a:solidFill>
                <a:schemeClr val="accent1">
                  <a:lumMod val="75000"/>
                </a:schemeClr>
              </a:solidFill>
              <a:latin typeface="+mn-lt"/>
              <a:ea typeface="Calibri"/>
              <a:cs typeface="Calibri"/>
            </a:rPr>
            <a:t>Total Cost</a:t>
          </a:r>
          <a:br>
            <a:rPr lang="en-US" sz="1200" b="0" i="0" u="none" strike="noStrike">
              <a:solidFill>
                <a:schemeClr val="accent1">
                  <a:lumMod val="75000"/>
                </a:schemeClr>
              </a:solidFill>
              <a:latin typeface="+mn-lt"/>
              <a:ea typeface="Calibri"/>
              <a:cs typeface="Calibri"/>
            </a:rPr>
          </a:br>
          <a:fld id="{F82E58D9-FB44-4ECA-B4EE-DD212B01B9EF}" type="TxLink">
            <a:rPr lang="en-US" sz="1200" b="0" i="0" u="none" strike="noStrike">
              <a:solidFill>
                <a:schemeClr val="accent1">
                  <a:lumMod val="75000"/>
                </a:schemeClr>
              </a:solidFill>
              <a:latin typeface="+mn-lt"/>
              <a:ea typeface="Calibri"/>
              <a:cs typeface="Calibri"/>
            </a:rPr>
            <a:pPr marL="0" indent="0" algn="ctr"/>
            <a:t>$1,380,556.78</a:t>
          </a:fld>
          <a:endParaRPr lang="en-US" sz="1200" b="0" i="0" u="none" strike="noStrike">
            <a:solidFill>
              <a:schemeClr val="accent1">
                <a:lumMod val="75000"/>
              </a:schemeClr>
            </a:solidFill>
            <a:latin typeface="+mn-lt"/>
            <a:ea typeface="Calibri"/>
            <a:cs typeface="Calibri"/>
          </a:endParaRPr>
        </a:p>
      </xdr:txBody>
    </xdr:sp>
    <xdr:clientData/>
  </xdr:twoCellAnchor>
  <xdr:twoCellAnchor>
    <xdr:from>
      <xdr:col>6</xdr:col>
      <xdr:colOff>217423</xdr:colOff>
      <xdr:row>0</xdr:row>
      <xdr:rowOff>132080</xdr:rowOff>
    </xdr:from>
    <xdr:to>
      <xdr:col>24</xdr:col>
      <xdr:colOff>263524</xdr:colOff>
      <xdr:row>3</xdr:row>
      <xdr:rowOff>86360</xdr:rowOff>
    </xdr:to>
    <xdr:sp macro="" textlink="">
      <xdr:nvSpPr>
        <xdr:cNvPr id="10" name="Rectangle: Rounded Corners 9">
          <a:extLst>
            <a:ext uri="{FF2B5EF4-FFF2-40B4-BE49-F238E27FC236}">
              <a16:creationId xmlns:a16="http://schemas.microsoft.com/office/drawing/2014/main" id="{8CC97A6A-724B-4708-A595-EEB06BE57A40}"/>
            </a:ext>
          </a:extLst>
        </xdr:cNvPr>
        <xdr:cNvSpPr/>
      </xdr:nvSpPr>
      <xdr:spPr>
        <a:xfrm>
          <a:off x="3875023" y="132080"/>
          <a:ext cx="11018901" cy="50292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0" i="0" u="none" strike="noStrike">
              <a:solidFill>
                <a:schemeClr val="accent1">
                  <a:lumMod val="75000"/>
                </a:schemeClr>
              </a:solidFill>
              <a:latin typeface="+mn-lt"/>
              <a:ea typeface="Calibri"/>
              <a:cs typeface="Calibri"/>
            </a:rPr>
            <a:t>CHIC</a:t>
          </a:r>
          <a:r>
            <a:rPr lang="en-US" sz="2000" b="0" i="0" u="none" strike="noStrike" baseline="0">
              <a:solidFill>
                <a:schemeClr val="accent1">
                  <a:lumMod val="75000"/>
                </a:schemeClr>
              </a:solidFill>
              <a:latin typeface="+mn-lt"/>
              <a:ea typeface="Calibri"/>
              <a:cs typeface="Calibri"/>
            </a:rPr>
            <a:t> BOUTIQUE APPAREL DASHBOARD</a:t>
          </a:r>
          <a:endParaRPr lang="en-US" sz="2000" b="0" i="0" u="none" strike="noStrike">
            <a:solidFill>
              <a:schemeClr val="accent1">
                <a:lumMod val="75000"/>
              </a:schemeClr>
            </a:solidFill>
            <a:latin typeface="+mn-lt"/>
            <a:ea typeface="Calibri"/>
            <a:cs typeface="Calibri"/>
          </a:endParaRPr>
        </a:p>
      </xdr:txBody>
    </xdr:sp>
    <xdr:clientData/>
  </xdr:twoCellAnchor>
  <xdr:twoCellAnchor>
    <xdr:from>
      <xdr:col>15</xdr:col>
      <xdr:colOff>243658</xdr:colOff>
      <xdr:row>7</xdr:row>
      <xdr:rowOff>144778</xdr:rowOff>
    </xdr:from>
    <xdr:to>
      <xdr:col>22</xdr:col>
      <xdr:colOff>230323</xdr:colOff>
      <xdr:row>24</xdr:row>
      <xdr:rowOff>162560</xdr:rowOff>
    </xdr:to>
    <xdr:graphicFrame macro="">
      <xdr:nvGraphicFramePr>
        <xdr:cNvPr id="11" name="Chart 10">
          <a:extLst>
            <a:ext uri="{FF2B5EF4-FFF2-40B4-BE49-F238E27FC236}">
              <a16:creationId xmlns:a16="http://schemas.microsoft.com/office/drawing/2014/main" id="{AC6C01A2-1253-4667-BC19-DC4B53667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200297</xdr:colOff>
      <xdr:row>5</xdr:row>
      <xdr:rowOff>81280</xdr:rowOff>
    </xdr:from>
    <xdr:to>
      <xdr:col>3</xdr:col>
      <xdr:colOff>463187</xdr:colOff>
      <xdr:row>14</xdr:row>
      <xdr:rowOff>19051</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1E7CDD99-5C1D-448B-B204-75419AB3506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0297" y="995680"/>
              <a:ext cx="2091690" cy="1583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14</xdr:row>
      <xdr:rowOff>51163</xdr:rowOff>
    </xdr:from>
    <xdr:to>
      <xdr:col>3</xdr:col>
      <xdr:colOff>453390</xdr:colOff>
      <xdr:row>36</xdr:row>
      <xdr:rowOff>43543</xdr:rowOff>
    </xdr:to>
    <mc:AlternateContent xmlns:mc="http://schemas.openxmlformats.org/markup-compatibility/2006">
      <mc:Choice xmlns:a14="http://schemas.microsoft.com/office/drawing/2010/main" Requires="a14">
        <xdr:graphicFrame macro="">
          <xdr:nvGraphicFramePr>
            <xdr:cNvPr id="13" name="Date (Month) 1">
              <a:extLst>
                <a:ext uri="{FF2B5EF4-FFF2-40B4-BE49-F238E27FC236}">
                  <a16:creationId xmlns:a16="http://schemas.microsoft.com/office/drawing/2014/main" id="{71EB8259-5BD3-462A-A745-E05CF972FAA9}"/>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90500" y="2611483"/>
              <a:ext cx="2091690" cy="4015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497204</xdr:colOff>
      <xdr:row>18</xdr:row>
      <xdr:rowOff>97972</xdr:rowOff>
    </xdr:from>
    <xdr:to>
      <xdr:col>9</xdr:col>
      <xdr:colOff>476249</xdr:colOff>
      <xdr:row>41</xdr:row>
      <xdr:rowOff>50800</xdr:rowOff>
    </xdr:to>
    <xdr:graphicFrame macro="">
      <xdr:nvGraphicFramePr>
        <xdr:cNvPr id="14" name="Chart 13">
          <a:extLst>
            <a:ext uri="{FF2B5EF4-FFF2-40B4-BE49-F238E27FC236}">
              <a16:creationId xmlns:a16="http://schemas.microsoft.com/office/drawing/2014/main" id="{78B21FEA-69D6-4B66-B3D9-9BC256159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500108</xdr:colOff>
      <xdr:row>25</xdr:row>
      <xdr:rowOff>50800</xdr:rowOff>
    </xdr:from>
    <xdr:to>
      <xdr:col>27</xdr:col>
      <xdr:colOff>436153</xdr:colOff>
      <xdr:row>41</xdr:row>
      <xdr:rowOff>52977</xdr:rowOff>
    </xdr:to>
    <xdr:graphicFrame macro="">
      <xdr:nvGraphicFramePr>
        <xdr:cNvPr id="15" name="Chart 14">
          <a:extLst>
            <a:ext uri="{FF2B5EF4-FFF2-40B4-BE49-F238E27FC236}">
              <a16:creationId xmlns:a16="http://schemas.microsoft.com/office/drawing/2014/main" id="{551AD60F-ED43-4CCD-A3E1-369F54FEC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265247</xdr:colOff>
      <xdr:row>25</xdr:row>
      <xdr:rowOff>50801</xdr:rowOff>
    </xdr:from>
    <xdr:to>
      <xdr:col>21</xdr:col>
      <xdr:colOff>425267</xdr:colOff>
      <xdr:row>41</xdr:row>
      <xdr:rowOff>48261</xdr:rowOff>
    </xdr:to>
    <xdr:graphicFrame macro="">
      <xdr:nvGraphicFramePr>
        <xdr:cNvPr id="16" name="Chart 15">
          <a:extLst>
            <a:ext uri="{FF2B5EF4-FFF2-40B4-BE49-F238E27FC236}">
              <a16:creationId xmlns:a16="http://schemas.microsoft.com/office/drawing/2014/main" id="{93C73D00-629B-4646-8AF1-BAFB10F15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283754</xdr:colOff>
      <xdr:row>7</xdr:row>
      <xdr:rowOff>149680</xdr:rowOff>
    </xdr:from>
    <xdr:to>
      <xdr:col>27</xdr:col>
      <xdr:colOff>457926</xdr:colOff>
      <xdr:row>24</xdr:row>
      <xdr:rowOff>142240</xdr:rowOff>
    </xdr:to>
    <xdr:graphicFrame macro="">
      <xdr:nvGraphicFramePr>
        <xdr:cNvPr id="17" name="Chart 16">
          <a:extLst>
            <a:ext uri="{FF2B5EF4-FFF2-40B4-BE49-F238E27FC236}">
              <a16:creationId xmlns:a16="http://schemas.microsoft.com/office/drawing/2014/main" id="{2DDC5102-03C7-44B6-83DA-1904C678C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549730</xdr:colOff>
      <xdr:row>18</xdr:row>
      <xdr:rowOff>114300</xdr:rowOff>
    </xdr:from>
    <xdr:to>
      <xdr:col>15</xdr:col>
      <xdr:colOff>185059</xdr:colOff>
      <xdr:row>41</xdr:row>
      <xdr:rowOff>60960</xdr:rowOff>
    </xdr:to>
    <xdr:graphicFrame macro="">
      <xdr:nvGraphicFramePr>
        <xdr:cNvPr id="18" name="Chart 17">
          <a:extLst>
            <a:ext uri="{FF2B5EF4-FFF2-40B4-BE49-F238E27FC236}">
              <a16:creationId xmlns:a16="http://schemas.microsoft.com/office/drawing/2014/main" id="{AAF6077F-16F0-41A6-A657-3AE6014E6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500743</xdr:colOff>
      <xdr:row>7</xdr:row>
      <xdr:rowOff>152400</xdr:rowOff>
    </xdr:from>
    <xdr:to>
      <xdr:col>15</xdr:col>
      <xdr:colOff>162560</xdr:colOff>
      <xdr:row>18</xdr:row>
      <xdr:rowOff>47624</xdr:rowOff>
    </xdr:to>
    <xdr:graphicFrame macro="">
      <xdr:nvGraphicFramePr>
        <xdr:cNvPr id="19" name="Chart 18">
          <a:extLst>
            <a:ext uri="{FF2B5EF4-FFF2-40B4-BE49-F238E27FC236}">
              <a16:creationId xmlns:a16="http://schemas.microsoft.com/office/drawing/2014/main" id="{D0E45DE5-002E-40C1-93C5-518DF7078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512170</xdr:colOff>
      <xdr:row>6</xdr:row>
      <xdr:rowOff>41542</xdr:rowOff>
    </xdr:from>
    <xdr:to>
      <xdr:col>31</xdr:col>
      <xdr:colOff>165460</xdr:colOff>
      <xdr:row>35</xdr:row>
      <xdr:rowOff>22497</xdr:rowOff>
    </xdr:to>
    <mc:AlternateContent xmlns:mc="http://schemas.openxmlformats.org/markup-compatibility/2006">
      <mc:Choice xmlns:a14="http://schemas.microsoft.com/office/drawing/2010/main" Requires="a14">
        <xdr:graphicFrame macro="">
          <xdr:nvGraphicFramePr>
            <xdr:cNvPr id="20" name="Product 1">
              <a:extLst>
                <a:ext uri="{FF2B5EF4-FFF2-40B4-BE49-F238E27FC236}">
                  <a16:creationId xmlns:a16="http://schemas.microsoft.com/office/drawing/2014/main" id="{B630D0A0-C8D2-423C-BBC8-14FC558C247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6971370" y="1138822"/>
              <a:ext cx="2091690" cy="528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0231485" backgroundQuery="1" createdVersion="7" refreshedVersion="7" minRefreshableVersion="3" recordCount="0" supportSubquery="1" supportAdvancedDrill="1" xr:uid="{6B43B7AF-917A-4C73-9D4A-AF4007B1EE30}">
  <cacheSource type="external" connectionId="2"/>
  <cacheFields count="3">
    <cacheField name="[Measures].[Sum of Revenue]" caption="Sum of Revenue" numFmtId="0" hierarchy="18" level="32767"/>
    <cacheField name="[Table1].[Product].[Product]" caption="Product" numFmtId="0" hierarchy="3" level="1">
      <sharedItems count="16">
        <s v="Accessories A"/>
        <s v="Accessories B"/>
        <s v="Accessories C"/>
        <s v="Accessories D"/>
        <s v="Bottoms A"/>
        <s v="Bottoms B"/>
        <s v="Bottoms C"/>
        <s v="Bottoms D"/>
        <s v="Dresses A"/>
        <s v="Dresses B"/>
        <s v="Dresses C"/>
        <s v="Dresses D"/>
        <s v="Tops A"/>
        <s v="Tops B"/>
        <s v="Tops C"/>
        <s v="Tops D"/>
      </sharedItems>
    </cacheField>
    <cacheField name="[Table1].[Date (Month)].[Date (Month)]" caption="Date (Month)" numFmtId="0" hierarchy="14" level="1">
      <sharedItems count="12">
        <s v="Jan"/>
        <s v="Feb"/>
        <s v="Mar"/>
        <s v="Apr"/>
        <s v="May"/>
        <s v="Jun"/>
        <s v="Jul"/>
        <s v="Aug"/>
        <s v="Sep"/>
        <s v="Oct"/>
        <s v="Nov"/>
        <s v="Dec"/>
      </sharedItems>
    </cacheField>
  </cacheFields>
  <cacheHierarchies count="27">
    <cacheHierarchy uniqueName="[Table1].[Date]" caption="Date" attribute="1" time="1" defaultMemberUniqueName="[Table1].[Date].[All]" allUniqueName="[Table1].[Date].[All]" dimensionUniqueName="[Table1]" displayFolder="" count="2"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0810185" backgroundQuery="1" createdVersion="7" refreshedVersion="7" minRefreshableVersion="3" recordCount="0" supportSubquery="1" supportAdvancedDrill="1" xr:uid="{062544E3-57DD-4275-B24C-62ADA117CCB2}">
  <cacheSource type="external" connectionId="2"/>
  <cacheFields count="3">
    <cacheField name="[Measures].[Sum of Revenue]" caption="Sum of Revenue" numFmtId="0" hierarchy="18" level="32767"/>
    <cacheField name="[Table1].[Product].[Product]" caption="Product" numFmtId="0" hierarchy="3" level="1">
      <sharedItems count="16">
        <s v="Accessories A"/>
        <s v="Accessories B"/>
        <s v="Accessories C"/>
        <s v="Accessories D"/>
        <s v="Bottoms A"/>
        <s v="Bottoms B"/>
        <s v="Bottoms C"/>
        <s v="Bottoms D"/>
        <s v="Dresses A"/>
        <s v="Dresses B"/>
        <s v="Dresses C"/>
        <s v="Dresses D"/>
        <s v="Tops A"/>
        <s v="Tops B"/>
        <s v="Tops C"/>
        <s v="Tops D"/>
      </sharedItems>
    </cacheField>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1388886" backgroundQuery="1" createdVersion="7" refreshedVersion="7" minRefreshableVersion="3" recordCount="0" supportSubquery="1" supportAdvancedDrill="1" xr:uid="{37C73CB9-561D-4539-8F3A-AA996018C965}">
  <cacheSource type="external" connectionId="2"/>
  <cacheFields count="3">
    <cacheField name="[Measures].[Sum of Revenue]" caption="Sum of Revenue" numFmtId="0" hierarchy="18" level="32767"/>
    <cacheField name="[Table1].[Product].[Product]" caption="Product" numFmtId="0" hierarchy="3" level="1">
      <sharedItems count="16">
        <s v="Accessories A"/>
        <s v="Accessories B"/>
        <s v="Accessories C"/>
        <s v="Accessories D"/>
        <s v="Bottoms A"/>
        <s v="Bottoms B"/>
        <s v="Bottoms C"/>
        <s v="Bottoms D"/>
        <s v="Dresses A"/>
        <s v="Dresses B"/>
        <s v="Dresses C"/>
        <s v="Dresses D"/>
        <s v="Tops A"/>
        <s v="Tops B"/>
        <s v="Tops C"/>
        <s v="Tops D"/>
      </sharedItems>
    </cacheField>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1851855" backgroundQuery="1" createdVersion="7" refreshedVersion="7" minRefreshableVersion="3" recordCount="0" supportSubquery="1" supportAdvancedDrill="1" xr:uid="{E6EA72B5-D0FD-46CA-9F0B-1EE34DBA0294}">
  <cacheSource type="external" connectionId="2"/>
  <cacheFields count="3">
    <cacheField name="[Measures].[Sum of Revenue]" caption="Sum of Revenue" numFmtId="0" hierarchy="18" level="32767"/>
    <cacheField name="[Table1].[Category].[Category]" caption="Category" numFmtId="0" hierarchy="2" level="1">
      <sharedItems count="4">
        <s v="Accessories"/>
        <s v="Bottoms"/>
        <s v="Dresses"/>
        <s v="Tops"/>
      </sharedItems>
    </cacheField>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2314817" backgroundQuery="1" createdVersion="7" refreshedVersion="7" minRefreshableVersion="3" recordCount="0" supportSubquery="1" supportAdvancedDrill="1" xr:uid="{A9D74907-1F1A-47CD-B42A-1F9E30EA1D67}">
  <cacheSource type="external" connectionId="2"/>
  <cacheFields count="3">
    <cacheField name="[Measures].[Sum of Revenue]" caption="Sum of Revenue" numFmtId="0" hierarchy="18" level="32767"/>
    <cacheField name="[Table1].[Season].[Season]" caption="Season" numFmtId="0" hierarchy="1" level="1">
      <sharedItems count="4">
        <s v="Autumn"/>
        <s v="Spring"/>
        <s v="Summer"/>
        <s v="Winter"/>
      </sharedItems>
    </cacheField>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266204" backgroundQuery="1" createdVersion="7" refreshedVersion="7" minRefreshableVersion="3" recordCount="0" supportSubquery="1" supportAdvancedDrill="1" xr:uid="{052AA087-0CF8-4B45-AD3D-CE7B1CB75C0F}">
  <cacheSource type="external" connectionId="2"/>
  <cacheFields count="3">
    <cacheField name="[Measures].[Sum of Revenue]" caption="Sum of Revenue" numFmtId="0" hierarchy="18" level="32767"/>
    <cacheField name="[Table1].[Channel].[Channel]" caption="Channel" numFmtId="0" hierarchy="4" level="1">
      <sharedItems count="2">
        <s v="In-Store"/>
        <s v="Online"/>
      </sharedItems>
    </cacheField>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1"/>
      </fieldsUsage>
    </cacheHierarchy>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3125002" backgroundQuery="1" createdVersion="7" refreshedVersion="7" minRefreshableVersion="3" recordCount="0" supportSubquery="1" supportAdvancedDrill="1" xr:uid="{5E41379A-7B33-4615-BCC7-93AD8CD6268E}">
  <cacheSource type="external" connectionId="2"/>
  <cacheFields count="4">
    <cacheField name="[Measures].[Sum of Stock_Level]" caption="Sum of Stock_Level" numFmtId="0" hierarchy="19" level="32767"/>
    <cacheField name="[Table1].[Product].[Product]" caption="Product" numFmtId="0" hierarchy="3" level="1">
      <sharedItems count="16">
        <s v="Accessories A"/>
        <s v="Accessories B"/>
        <s v="Accessories C"/>
        <s v="Accessories D"/>
        <s v="Bottoms A"/>
        <s v="Bottoms B"/>
        <s v="Bottoms C"/>
        <s v="Bottoms D"/>
        <s v="Dresses A"/>
        <s v="Dresses B"/>
        <s v="Dresses C"/>
        <s v="Dresses D"/>
        <s v="Tops A"/>
        <s v="Tops B"/>
        <s v="Tops C"/>
        <s v="Tops D"/>
      </sharedItems>
    </cacheField>
    <cacheField name="[Measures].[Sum of Units_Sold]" caption="Sum of Units_Sold" numFmtId="0" hierarchy="20" level="32767"/>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4745372" backgroundQuery="1" createdVersion="7" refreshedVersion="7" minRefreshableVersion="3" recordCount="0" supportSubquery="1" supportAdvancedDrill="1" xr:uid="{FD9E838D-13C5-48EB-B740-F60E3F1A7DFF}">
  <cacheSource type="external" connectionId="2"/>
  <cacheFields count="5">
    <cacheField name="[Table1].[Customer_Type].[Customer_Type]" caption="Customer_Type" numFmtId="0" hierarchy="5" level="1">
      <sharedItems count="2">
        <s v="New"/>
        <s v="Returning"/>
      </sharedItems>
    </cacheField>
    <cacheField name="[Measures].[Sum of Revenue]" caption="Sum of Revenue" numFmtId="0" hierarchy="18" level="32767"/>
    <cacheField name="[Measures].[Sum of Cost]" caption="Sum of Cost" numFmtId="0" hierarchy="21" level="32767"/>
    <cacheField name="[Measures].[Sum of Profit]" caption="Sum of Profit" numFmtId="0" hierarchy="22" level="32767"/>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2" memberValueDatatype="130" unbalanced="0">
      <fieldsUsage count="2">
        <fieldUsage x="-1"/>
        <fieldUsage x="0"/>
      </fieldsUsage>
    </cacheHierarchy>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4"/>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497685" backgroundQuery="1" createdVersion="7" refreshedVersion="7" minRefreshableVersion="3" recordCount="0" supportSubquery="1" supportAdvancedDrill="1" xr:uid="{C381C3F9-CA3C-464E-A804-C0E7B8ABD6D2}">
  <cacheSource type="external" connectionId="2"/>
  <cacheFields count="2">
    <cacheField name="[Measures].[Distinct Count of Category]" caption="Distinct Count of Category" numFmtId="0" hierarchy="24" level="32767"/>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5092596" backgroundQuery="1" createdVersion="7" refreshedVersion="7" minRefreshableVersion="3" recordCount="0" supportSubquery="1" supportAdvancedDrill="1" xr:uid="{61BA571D-93C0-4991-B76A-2B2554D63049}">
  <cacheSource type="external" connectionId="2"/>
  <cacheFields count="2">
    <cacheField name="[Measures].[Sum of Cost]" caption="Sum of Cost" numFmtId="0" hierarchy="21" level="32767"/>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5208334" backgroundQuery="1" createdVersion="7" refreshedVersion="7" minRefreshableVersion="3" recordCount="0" supportSubquery="1" supportAdvancedDrill="1" xr:uid="{8C2E6B37-F96B-43E4-A3FE-87BF74AA4B3C}">
  <cacheSource type="external" connectionId="2"/>
  <cacheFields count="2">
    <cacheField name="[Measures].[Distinct Count of Product]" caption="Distinct Count of Product" numFmtId="0" hierarchy="26" level="32767"/>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5324073" backgroundQuery="1" createdVersion="7" refreshedVersion="7" minRefreshableVersion="3" recordCount="0" supportSubquery="1" supportAdvancedDrill="1" xr:uid="{B5DEF0CD-76A2-4BE3-9FE1-CACB35E29B12}">
  <cacheSource type="external" connectionId="2"/>
  <cacheFields count="2">
    <cacheField name="[Measures].[Sum of Profit]" caption="Sum of Profit" numFmtId="0" hierarchy="22" level="32767"/>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5439812" backgroundQuery="1" createdVersion="7" refreshedVersion="7" minRefreshableVersion="3" recordCount="0" supportSubquery="1" supportAdvancedDrill="1" xr:uid="{1999DA8B-7414-418A-9DC0-3932A93BFF92}">
  <cacheSource type="external" connectionId="2"/>
  <cacheFields count="2">
    <cacheField name="[Measures].[Sum of Revenue]" caption="Sum of Revenue" numFmtId="0" hierarchy="18" level="32767"/>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83955555558" backgroundQuery="1" createdVersion="7" refreshedVersion="7" minRefreshableVersion="3" recordCount="0" supportSubquery="1" supportAdvancedDrill="1" xr:uid="{58A6471C-BFCB-4866-BD8E-B376D71D46B0}">
  <cacheSource type="external" connectionId="2"/>
  <cacheFields count="2">
    <cacheField name="[Measures].[Sum of Units_Sold]" caption="Sum of Units_Sold" numFmtId="0" hierarchy="20" level="32767"/>
    <cacheField name="[Table1].[Date (Month)].[Date (Month)]" caption="Date (Month)" numFmtId="0" hierarchy="14"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6008.043120138886" backgroundQuery="1" createdVersion="3" refreshedVersion="7" minRefreshableVersion="3" recordCount="0" supportSubquery="1" supportAdvancedDrill="1" xr:uid="{0D20F24A-AD30-4EDC-9404-3A1A9E46FBD0}">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Table1].[Date]" caption="Date" attribute="1" time="1" defaultMemberUniqueName="[Table1].[Date].[All]" allUniqueName="[Table1].[Date].[All]" dimensionUniqueName="[Table1]" displayFolder="" count="0" memberValueDatatype="7" unbalanced="0"/>
    <cacheHierarchy uniqueName="[Table1].[Season]" caption="Season" attribute="1" defaultMemberUniqueName="[Table1].[Season].[All]" allUniqueName="[Table1].[Season].[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6" unbalanced="0"/>
    <cacheHierarchy uniqueName="[Table1].[Revenue]" caption="Revenue" attribute="1" defaultMemberUniqueName="[Table1].[Revenue].[All]" allUniqueName="[Table1].[Revenue].[All]" dimensionUniqueName="[Table1]" displayFolder="" count="0" memberValueDatatype="6" unbalanced="0"/>
    <cacheHierarchy uniqueName="[Table1].[Cost]" caption="Cost" attribute="1" defaultMemberUniqueName="[Table1].[Cost].[All]" allUniqueName="[Table1].[Cost].[All]" dimensionUniqueName="[Table1]" displayFolder="" count="0" memberValueDatatype="6" unbalanced="0"/>
    <cacheHierarchy uniqueName="[Table1].[Profit]" caption="Profit" attribute="1" defaultMemberUniqueName="[Table1].[Profit].[All]" allUniqueName="[Table1].[Profit].[All]" dimensionUniqueName="[Table1]" displayFolder="" count="0" memberValueDatatype="6" unbalanced="0"/>
    <cacheHierarchy uniqueName="[Table1].[Stock_Level]" caption="Stock_Level" attribute="1" defaultMemberUniqueName="[Table1].[Stock_Level].[All]" allUniqueName="[Table1].[Stock_Level].[All]" dimensionUniqueName="[Table1]" displayFolder="" count="0" memberValueDatatype="20" unbalanced="0"/>
    <cacheHierarchy uniqueName="[Table1].[Waste]" caption="Waste" attribute="1" defaultMemberUniqueName="[Table1].[Waste].[All]" allUniqueName="[Table1].[Waste].[All]" dimensionUniqueName="[Table1]" displayFolder="" count="0" memberValueDatatype="20" unbalanced="0"/>
    <cacheHierarchy uniqueName="[Table1].[Stockout]" caption="Stockout" attribute="1" defaultMemberUniqueName="[Table1].[Stockout].[All]" allUniqueName="[Table1].[Stockout].[All]" dimensionUniqueName="[Table1]" displayFolder="" count="0" memberValueDatatype="11"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Table1" count="0" hidden="1">
      <extLst>
        <ext xmlns:x15="http://schemas.microsoft.com/office/spreadsheetml/2010/11/main" uri="{B97F6D7D-B522-45F9-BDA1-12C45D357490}">
          <x15:cacheHierarchy aggregatedColumn="8"/>
        </ext>
      </extLst>
    </cacheHierarchy>
    <cacheHierarchy uniqueName="[Measures].[Sum of Stock_Level]" caption="Sum of Stock_Level" measure="1" displayFolder="" measureGroup="Table1" count="0" hidden="1">
      <extLst>
        <ext xmlns:x15="http://schemas.microsoft.com/office/spreadsheetml/2010/11/main" uri="{B97F6D7D-B522-45F9-BDA1-12C45D357490}">
          <x15:cacheHierarchy aggregatedColumn="11"/>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st]" caption="Sum of Cost" measure="1" displayFolder="" measureGroup="Table1"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0"/>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2"/>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Product]" caption="Distinct Count of Product" measure="1" displayFolder="" measureGroup="Table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6476781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62C5B3-F6C4-4D9C-890D-C51926C376FC}" name="PivotTable14" cacheId="4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147:C160" firstHeaderRow="1" firstDataRow="1" firstDataCol="1"/>
  <pivotFields count="3">
    <pivotField dataField="1" subtotalTop="0" showAll="0" defaultSubtotal="0"/>
    <pivotField allDrilled="1" subtotalTop="0" showAll="0" sortType="ascending" dataSourceSort="1"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dataFields count="1">
    <dataField name="Total Revenue" fld="0" baseField="0" baseItem="16777231"/>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2B2364-600F-4D03-9C33-8F322F01E0A5}" name="PivotTable13" cacheId="49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B121:C138" firstHeaderRow="1" firstDataRow="1" firstDataCol="1"/>
  <pivotFields count="3">
    <pivotField dataField="1" subtotalTop="0" showAll="0" defaultSubtotal="0"/>
    <pivotField axis="axisRow" allDrilled="1" subtotalTop="0" showAll="0" sortType="ascending" dataSourceSort="1"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7">
    <i>
      <x v="10"/>
    </i>
    <i>
      <x v="8"/>
    </i>
    <i>
      <x v="9"/>
    </i>
    <i>
      <x v="3"/>
    </i>
    <i>
      <x v="5"/>
    </i>
    <i>
      <x/>
    </i>
    <i>
      <x v="15"/>
    </i>
    <i>
      <x v="14"/>
    </i>
    <i>
      <x v="11"/>
    </i>
    <i>
      <x v="13"/>
    </i>
    <i>
      <x v="12"/>
    </i>
    <i>
      <x v="4"/>
    </i>
    <i>
      <x v="6"/>
    </i>
    <i>
      <x v="1"/>
    </i>
    <i>
      <x v="2"/>
    </i>
    <i>
      <x v="7"/>
    </i>
    <i t="grand">
      <x/>
    </i>
  </rowItems>
  <colItems count="1">
    <i/>
  </colItems>
  <dataFields count="1">
    <dataField name="Total Revenue" fld="0" baseField="0" baseItem="16777231" numFmtId="165"/>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DB837B-EABA-43A2-B0E1-DB8993EFF58B}" name="Total Products" cacheId="5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ducts"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caption="Total Categories"/>
    <pivotHierarchy dragToData="1"/>
    <pivotHierarchy dragToData="1" caption="Total Product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08B32A-E120-4976-BE7F-AF44EFF49239}" name="Total Categories" cacheId="5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ategories" fld="0" subtotal="count" baseField="0" baseItem="0">
      <extLst>
        <ext xmlns:x15="http://schemas.microsoft.com/office/spreadsheetml/2010/11/main" uri="{FABC7310-3BB5-11E1-824E-6D434824019B}">
          <x15:dataField isCountDistinct="1"/>
        </ext>
      </extLst>
    </dataField>
  </dataField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caption="Total Categori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277F23-7540-41DB-BE3C-B80C170D1219}" name="Total Sold Units" cacheId="5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old Units" fld="0" baseField="0" baseItem="16777418"/>
  </dataField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caption="Total Sold Unit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D15CE1-CC26-4958-AC15-A76FC6B7BB6B}" name="Total Cost" cacheId="5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ost" fld="0" baseField="0" baseItem="16777332"/>
  </dataField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caption="Total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71B0F6-12D1-42A6-8334-85F496E9116D}" name="Total Profit" cacheId="5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16777257"/>
  </dataField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caption="Total Profi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036E7A-0212-4470-BE9E-29318D6E4073}" name="PivotTable6" cacheId="50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81:D98" firstHeaderRow="0" firstDataRow="1" firstDataCol="1"/>
  <pivotFields count="4">
    <pivotField dataField="1" subtotalTop="0" showAll="0" defaultSubtotal="0"/>
    <pivotField axis="axisRow" allDrilled="1" subtotalTop="0" showAll="0" sortType="ascending" dataSourceSort="1"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7">
    <i>
      <x v="10"/>
    </i>
    <i>
      <x v="3"/>
    </i>
    <i>
      <x v="15"/>
    </i>
    <i>
      <x v="8"/>
    </i>
    <i>
      <x v="14"/>
    </i>
    <i>
      <x/>
    </i>
    <i>
      <x v="5"/>
    </i>
    <i>
      <x v="9"/>
    </i>
    <i>
      <x v="1"/>
    </i>
    <i>
      <x v="12"/>
    </i>
    <i>
      <x v="13"/>
    </i>
    <i>
      <x v="4"/>
    </i>
    <i>
      <x v="6"/>
    </i>
    <i>
      <x v="2"/>
    </i>
    <i>
      <x v="11"/>
    </i>
    <i>
      <x v="7"/>
    </i>
    <i t="grand">
      <x/>
    </i>
  </rowItems>
  <colFields count="1">
    <field x="-2"/>
  </colFields>
  <colItems count="2">
    <i>
      <x/>
    </i>
    <i i="1">
      <x v="1"/>
    </i>
  </colItems>
  <dataFields count="2">
    <dataField name="Units Sold" fld="2" baseField="1" baseItem="10"/>
    <dataField name="Stock" fld="0" baseField="1" baseItem="10"/>
  </dataFields>
  <chartFormats count="2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 count="1" selected="0">
            <x v="7"/>
          </reference>
        </references>
      </pivotArea>
    </chartFormat>
    <chartFormat chart="3" format="3">
      <pivotArea type="data" outline="0" fieldPosition="0">
        <references count="2">
          <reference field="4294967294" count="1" selected="0">
            <x v="0"/>
          </reference>
          <reference field="1" count="1" selected="0">
            <x v="1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 chart="3" format="6">
      <pivotArea type="data" outline="0" fieldPosition="0">
        <references count="2">
          <reference field="4294967294" count="1" selected="0">
            <x v="0"/>
          </reference>
          <reference field="1" count="1" selected="0">
            <x v="6"/>
          </reference>
        </references>
      </pivotArea>
    </chartFormat>
    <chartFormat chart="3" format="7">
      <pivotArea type="data" outline="0" fieldPosition="0">
        <references count="2">
          <reference field="4294967294" count="1" selected="0">
            <x v="0"/>
          </reference>
          <reference field="1" count="1" selected="0">
            <x v="13"/>
          </reference>
        </references>
      </pivotArea>
    </chartFormat>
    <chartFormat chart="3" format="8">
      <pivotArea type="data" outline="0" fieldPosition="0">
        <references count="2">
          <reference field="4294967294" count="1" selected="0">
            <x v="0"/>
          </reference>
          <reference field="1" count="1" selected="0">
            <x v="12"/>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1" count="1" selected="0">
            <x v="1"/>
          </reference>
        </references>
      </pivotArea>
    </chartFormat>
    <chartFormat chart="6" format="22">
      <pivotArea type="data" outline="0" fieldPosition="0">
        <references count="2">
          <reference field="4294967294" count="1" selected="0">
            <x v="0"/>
          </reference>
          <reference field="1" count="1" selected="0">
            <x v="12"/>
          </reference>
        </references>
      </pivotArea>
    </chartFormat>
    <chartFormat chart="6" format="23">
      <pivotArea type="data" outline="0" fieldPosition="0">
        <references count="2">
          <reference field="4294967294" count="1" selected="0">
            <x v="0"/>
          </reference>
          <reference field="1" count="1" selected="0">
            <x v="13"/>
          </reference>
        </references>
      </pivotArea>
    </chartFormat>
    <chartFormat chart="6" format="24">
      <pivotArea type="data" outline="0" fieldPosition="0">
        <references count="2">
          <reference field="4294967294" count="1" selected="0">
            <x v="0"/>
          </reference>
          <reference field="1" count="1" selected="0">
            <x v="4"/>
          </reference>
        </references>
      </pivotArea>
    </chartFormat>
    <chartFormat chart="6" format="25">
      <pivotArea type="data" outline="0" fieldPosition="0">
        <references count="2">
          <reference field="4294967294" count="1" selected="0">
            <x v="0"/>
          </reference>
          <reference field="1" count="1" selected="0">
            <x v="6"/>
          </reference>
        </references>
      </pivotArea>
    </chartFormat>
    <chartFormat chart="6" format="26">
      <pivotArea type="data" outline="0" fieldPosition="0">
        <references count="2">
          <reference field="4294967294" count="1" selected="0">
            <x v="0"/>
          </reference>
          <reference field="1" count="1" selected="0">
            <x v="2"/>
          </reference>
        </references>
      </pivotArea>
    </chartFormat>
    <chartFormat chart="6" format="27">
      <pivotArea type="data" outline="0" fieldPosition="0">
        <references count="2">
          <reference field="4294967294" count="1" selected="0">
            <x v="0"/>
          </reference>
          <reference field="1" count="1" selected="0">
            <x v="11"/>
          </reference>
        </references>
      </pivotArea>
    </chartFormat>
    <chartFormat chart="6" format="28">
      <pivotArea type="data" outline="0" fieldPosition="0">
        <references count="2">
          <reference field="4294967294" count="1" selected="0">
            <x v="0"/>
          </reference>
          <reference field="1" count="1" selected="0">
            <x v="7"/>
          </reference>
        </references>
      </pivotArea>
    </chartFormat>
    <chartFormat chart="6" format="29"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caption="Stock"/>
    <pivotHierarchy dragToData="1" caption="Units Sol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FAD931-545B-4176-984A-64507A47B4A9}" name="Total Revenue" cacheId="5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16777231"/>
  </dataField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A68144-A925-4188-ABF7-D2C76508848C}" name="PivotTable5" cacheId="50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B66:C6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Total Revenue" fld="0" baseField="0" baseItem="16777231"/>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E6509A-DF04-45AF-9C29-149BC91E737D}" name="PivotTable4" cacheId="50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54:C5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16777231"/>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4" format="6"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57F246-9361-4762-A0E2-88D7C7AD3F13}" name="PivotTable3" cacheId="50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37:C4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16777231"/>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2961EB-00F2-4EA5-B3CF-DAE7FC78A142}" name="PivotTable2" cacheId="49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0:C27" firstHeaderRow="1" firstDataRow="1" firstDataCol="1"/>
  <pivotFields count="3">
    <pivotField dataField="1" subtotalTop="0" showAll="0" defaultSubtotal="0"/>
    <pivotField axis="axisRow" allDrilled="1" subtotalTop="0" showAll="0" sortType="ascending" dataSourceSort="1"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7">
    <i>
      <x v="10"/>
    </i>
    <i>
      <x v="8"/>
    </i>
    <i>
      <x v="9"/>
    </i>
    <i>
      <x v="3"/>
    </i>
    <i>
      <x v="5"/>
    </i>
    <i>
      <x/>
    </i>
    <i>
      <x v="15"/>
    </i>
    <i>
      <x v="14"/>
    </i>
    <i>
      <x v="11"/>
    </i>
    <i>
      <x v="13"/>
    </i>
    <i>
      <x v="12"/>
    </i>
    <i>
      <x v="4"/>
    </i>
    <i>
      <x v="6"/>
    </i>
    <i>
      <x v="1"/>
    </i>
    <i>
      <x v="2"/>
    </i>
    <i>
      <x v="7"/>
    </i>
    <i t="grand">
      <x/>
    </i>
  </rowItems>
  <colItems count="1">
    <i/>
  </colItems>
  <dataFields count="1">
    <dataField name="Total Revenue" fld="0" baseField="0" baseItem="1677723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F620EAF-9F48-4CAB-A6EB-9ABBAF300A02}" name="PivotTable7" cacheId="5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B109:E112"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Total Revenue" fld="1" baseField="0" baseItem="0"/>
    <dataField name="Total Cost" fld="2" baseField="0" baseItem="0"/>
    <dataField name="Total Profit" fld="3" baseField="0" baseItem="0"/>
  </dataFields>
  <chartFormats count="1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pivotArea type="data" outline="0" fieldPosition="0">
        <references count="2">
          <reference field="4294967294" count="1" selected="0">
            <x v="1"/>
          </reference>
          <reference field="0" count="1" selected="0">
            <x v="0"/>
          </reference>
        </references>
      </pivotArea>
    </chartFormat>
    <chartFormat chart="4" format="4">
      <pivotArea type="data" outline="0" fieldPosition="0">
        <references count="2">
          <reference field="4294967294" count="1" selected="0">
            <x v="1"/>
          </reference>
          <reference field="0" count="1" selected="0">
            <x v="1"/>
          </reference>
        </references>
      </pivotArea>
    </chartFormat>
    <chartFormat chart="4" format="5">
      <pivotArea type="data" outline="0" fieldPosition="0">
        <references count="2">
          <reference field="4294967294" count="1" selected="0">
            <x v="2"/>
          </reference>
          <reference field="0" count="1" selected="0">
            <x v="0"/>
          </reference>
        </references>
      </pivotArea>
    </chartFormat>
    <chartFormat chart="4" format="6">
      <pivotArea type="data" outline="0" fieldPosition="0">
        <references count="2">
          <reference field="4294967294" count="1" selected="0">
            <x v="2"/>
          </reference>
          <reference field="0" count="1" selected="0">
            <x v="1"/>
          </reference>
        </references>
      </pivotArea>
    </chartFormat>
    <chartFormat chart="7" format="14"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0" count="1" selected="0">
            <x v="0"/>
          </reference>
        </references>
      </pivotArea>
    </chartFormat>
    <chartFormat chart="7" format="17">
      <pivotArea type="data" outline="0" fieldPosition="0">
        <references count="2">
          <reference field="4294967294" count="1" selected="0">
            <x v="1"/>
          </reference>
          <reference field="0" count="1" selected="0">
            <x v="1"/>
          </reference>
        </references>
      </pivotArea>
    </chartFormat>
    <chartFormat chart="7" format="18" series="1">
      <pivotArea type="data" outline="0" fieldPosition="0">
        <references count="1">
          <reference field="4294967294" count="1" selected="0">
            <x v="2"/>
          </reference>
        </references>
      </pivotArea>
    </chartFormat>
    <chartFormat chart="7" format="19">
      <pivotArea type="data" outline="0" fieldPosition="0">
        <references count="2">
          <reference field="4294967294" count="1" selected="0">
            <x v="2"/>
          </reference>
          <reference field="0" count="1" selected="0">
            <x v="0"/>
          </reference>
        </references>
      </pivotArea>
    </chartFormat>
    <chartFormat chart="7" format="20">
      <pivotArea type="data" outline="0" fieldPosition="0">
        <references count="2">
          <reference field="4294967294" count="1" selected="0">
            <x v="2"/>
          </reference>
          <reference field="0"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caption="Total Cost"/>
    <pivotHierarchy dragToData="1" caption="Total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70D7EBB-58BB-40EF-8BFB-0D96144AA3D1}" sourceName="[Table1].[Date (Month)]">
  <pivotTables>
    <pivotTable tabId="2" name="PivotTable14"/>
    <pivotTable tabId="2" name="PivotTable13"/>
    <pivotTable tabId="2" name="PivotTable2"/>
    <pivotTable tabId="2" name="PivotTable3"/>
    <pivotTable tabId="2" name="PivotTable4"/>
    <pivotTable tabId="2" name="PivotTable5"/>
    <pivotTable tabId="2" name="PivotTable6"/>
    <pivotTable tabId="2" name="PivotTable7"/>
    <pivotTable tabId="2" name="Total Categories"/>
    <pivotTable tabId="2" name="Total Cost"/>
    <pivotTable tabId="2" name="Total Products"/>
    <pivotTable tabId="2" name="Total Profit"/>
    <pivotTable tabId="2" name="Total Revenue"/>
    <pivotTable tabId="2" name="Total Sold Units"/>
  </pivotTables>
  <data>
    <olap pivotCacheId="1647678165">
      <levels count="2">
        <level uniqueName="[Table1].[Date (Month)].[(All)]" sourceCaption="(All)" count="0"/>
        <level uniqueName="[Table1].[Date (Month)].[Date (Month)]" sourceCaption="Date (Month)" count="12">
          <ranges>
            <range startItem="0">
              <i n="[Table1].[Date (Month)].&amp;[Jan]" c="Jan"/>
              <i n="[Table1].[Date (Month)].&amp;[Feb]" c="Feb"/>
              <i n="[Table1].[Date (Month)].&amp;[Mar]" c="Mar"/>
              <i n="[Table1].[Date (Month)].&amp;[Apr]" c="Apr"/>
              <i n="[Table1].[Date (Month)].&amp;[May]" c="May"/>
              <i n="[Table1].[Date (Month)].&amp;[Jun]" c="Jun"/>
              <i n="[Table1].[Date (Month)].&amp;[Jul]" c="Jul"/>
              <i n="[Table1].[Date (Month)].&amp;[Aug]" c="Aug"/>
              <i n="[Table1].[Date (Month)].&amp;[Sep]" c="Sep"/>
              <i n="[Table1].[Date (Month)].&amp;[Oct]" c="Oct"/>
              <i n="[Table1].[Date (Month)].&amp;[Nov]" c="Nov"/>
              <i n="[Table1].[Date (Month)].&amp;[Dec]" c="Dec"/>
            </range>
          </ranges>
        </level>
      </levels>
      <selections count="1">
        <selection n="[Table1].[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2CF16AE-86DB-42A3-AF53-9663ABA230E9}" sourceName="[Table1].[Product]">
  <pivotTables>
    <pivotTable tabId="2" name="PivotTable14"/>
    <pivotTable tabId="2" name="PivotTable13"/>
    <pivotTable tabId="2" name="PivotTable2"/>
    <pivotTable tabId="2" name="PivotTable3"/>
    <pivotTable tabId="2" name="PivotTable4"/>
    <pivotTable tabId="2" name="PivotTable5"/>
    <pivotTable tabId="2" name="PivotTable6"/>
    <pivotTable tabId="2" name="PivotTable7"/>
    <pivotTable tabId="2" name="Total Categories"/>
    <pivotTable tabId="2" name="Total Cost"/>
    <pivotTable tabId="2" name="Total Products"/>
    <pivotTable tabId="2" name="Total Profit"/>
    <pivotTable tabId="2" name="Total Revenue"/>
    <pivotTable tabId="2" name="Total Sold Units"/>
  </pivotTables>
  <data>
    <olap pivotCacheId="1647678165">
      <levels count="2">
        <level uniqueName="[Table1].[Product].[(All)]" sourceCaption="(All)" count="0"/>
        <level uniqueName="[Table1].[Product].[Product]" sourceCaption="Product" count="16">
          <ranges>
            <range startItem="0">
              <i n="[Table1].[Product].&amp;[Accessories A]" c="Accessories A"/>
              <i n="[Table1].[Product].&amp;[Accessories B]" c="Accessories B"/>
              <i n="[Table1].[Product].&amp;[Accessories C]" c="Accessories C"/>
              <i n="[Table1].[Product].&amp;[Accessories D]" c="Accessories D"/>
              <i n="[Table1].[Product].&amp;[Bottoms A]" c="Bottoms A"/>
              <i n="[Table1].[Product].&amp;[Bottoms B]" c="Bottoms B"/>
              <i n="[Table1].[Product].&amp;[Bottoms C]" c="Bottoms C"/>
              <i n="[Table1].[Product].&amp;[Bottoms D]" c="Bottoms D"/>
              <i n="[Table1].[Product].&amp;[Dresses A]" c="Dresses A"/>
              <i n="[Table1].[Product].&amp;[Dresses B]" c="Dresses B"/>
              <i n="[Table1].[Product].&amp;[Dresses C]" c="Dresses C"/>
              <i n="[Table1].[Product].&amp;[Dresses D]" c="Dresses D"/>
              <i n="[Table1].[Product].&amp;[Tops A]" c="Tops A"/>
              <i n="[Table1].[Product].&amp;[Tops B]" c="Tops B"/>
              <i n="[Table1].[Product].&amp;[Tops C]" c="Tops C"/>
              <i n="[Table1].[Product].&amp;[Tops D]" c="Tops D"/>
            </range>
          </ranges>
        </level>
      </levels>
      <selections count="1">
        <selection n="[Table1].[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570C9F-4C8B-4A05-9F10-6087635C8C5D}" sourceName="[Table1].[Category]">
  <pivotTables>
    <pivotTable tabId="2" name="PivotTable14"/>
    <pivotTable tabId="2" name="PivotTable13"/>
    <pivotTable tabId="2" name="PivotTable2"/>
    <pivotTable tabId="2" name="PivotTable3"/>
    <pivotTable tabId="2" name="PivotTable4"/>
    <pivotTable tabId="2" name="PivotTable5"/>
    <pivotTable tabId="2" name="PivotTable6"/>
    <pivotTable tabId="2" name="PivotTable7"/>
    <pivotTable tabId="2" name="Total Categories"/>
    <pivotTable tabId="2" name="Total Cost"/>
    <pivotTable tabId="2" name="Total Products"/>
    <pivotTable tabId="2" name="Total Profit"/>
    <pivotTable tabId="2" name="Total Revenue"/>
    <pivotTable tabId="2" name="Total Sold Units"/>
  </pivotTables>
  <data>
    <olap pivotCacheId="1647678165">
      <levels count="2">
        <level uniqueName="[Table1].[Category].[(All)]" sourceCaption="(All)" count="0"/>
        <level uniqueName="[Table1].[Category].[Category]" sourceCaption="Category" count="4" sortOrder="ascending">
          <ranges>
            <range startItem="0">
              <i n="[Table1].[Category].&amp;[Accessories]" c="Accessories"/>
              <i n="[Table1].[Category].&amp;[Bottoms]" c="Bottoms"/>
              <i n="[Table1].[Category].&amp;[Dresses]" c="Dresses"/>
              <i n="[Table1].[Category].&amp;[Tops]" c="Tops"/>
            </range>
          </ranges>
        </level>
      </levels>
      <selections count="1">
        <selection n="[Table1].[Category].[All]"/>
      </selections>
    </olap>
  </data>
  <extLst>
    <x:ext xmlns:x15="http://schemas.microsoft.com/office/spreadsheetml/2010/11/main" uri="{470722E0-AACD-4C17-9CDC-17EF765DBC7E}">
      <x15:slicerCacheHideItemsWithNoData count="1">
        <x15:slicerCacheOlapLevelName uniqueName="[Table1].[Category].[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7FE8D5C-BB72-44A0-B4AA-0DF5B9908646}" cache="Slicer_Date__Month" caption="Date (Month)" level="1" rowHeight="234950"/>
  <slicer name="Product" xr10:uid="{9B9683DF-F432-4B20-9BB3-B9991B731981}" cache="Slicer_Product" caption="Product" columnCount="2" level="1" rowHeight="234950"/>
  <slicer name="Category" xr10:uid="{327F3955-A3A0-417C-BB07-312BF4ABA4C4}" cache="Slicer_Category" caption="Category" columnCount="4" showCaption="0" level="1"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F7E9A6CD-1FE9-457A-A551-230BF24D3D99}" cache="Slicer_Date__Month" caption="Date (Month)" level="1" rowHeight="274320"/>
  <slicer name="Product 1" xr10:uid="{7C848B69-659C-411D-84FD-482CDC5CF492}" cache="Slicer_Product" caption="Product" level="1" rowHeight="274320"/>
  <slicer name="Category 1" xr10:uid="{B5032A75-DA54-4885-ACE1-86CAD2E41BAA}" cache="Slicer_Category" caption="Category" level="1" style="SlicerStyleLight6" rowHeight="274320"/>
</slicers>
</file>

<file path=xl/theme/theme1.xml><?xml version="1.0" encoding="utf-8"?>
<a:theme xmlns:a="http://schemas.openxmlformats.org/drawingml/2006/main" name="Office Theme">
  <a:themeElements>
    <a:clrScheme name="Custom 13">
      <a:dk1>
        <a:sysClr val="windowText" lastClr="000000"/>
      </a:dk1>
      <a:lt1>
        <a:sysClr val="window" lastClr="FFFFFF"/>
      </a:lt1>
      <a:dk2>
        <a:srgbClr val="454551"/>
      </a:dk2>
      <a:lt2>
        <a:srgbClr val="D8D9DC"/>
      </a:lt2>
      <a:accent1>
        <a:srgbClr val="E32D91"/>
      </a:accent1>
      <a:accent2>
        <a:srgbClr val="C830CC"/>
      </a:accent2>
      <a:accent3>
        <a:srgbClr val="4EA6DC"/>
      </a:accent3>
      <a:accent4>
        <a:srgbClr val="113285"/>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BAB5-FAFB-4E02-8EB8-360CC5EE6C75}">
  <dimension ref="B3:L160"/>
  <sheetViews>
    <sheetView topLeftCell="A76" workbookViewId="0">
      <selection activeCell="D81" sqref="D81"/>
    </sheetView>
  </sheetViews>
  <sheetFormatPr defaultRowHeight="14.4" x14ac:dyDescent="0.3"/>
  <cols>
    <col min="1" max="1" width="10.5546875" bestFit="1" customWidth="1"/>
    <col min="2" max="3" width="13.109375" bestFit="1" customWidth="1"/>
    <col min="4" max="4" width="11" bestFit="1" customWidth="1"/>
    <col min="5" max="5" width="11.109375" bestFit="1" customWidth="1"/>
    <col min="6" max="6" width="12.44140625" bestFit="1" customWidth="1"/>
    <col min="7" max="7" width="10.109375" bestFit="1" customWidth="1"/>
    <col min="8" max="8" width="14.21875" bestFit="1" customWidth="1"/>
    <col min="9" max="9" width="9.109375" bestFit="1" customWidth="1"/>
    <col min="10" max="10" width="14.5546875" bestFit="1" customWidth="1"/>
    <col min="11" max="11" width="9.109375" bestFit="1" customWidth="1"/>
    <col min="12" max="12" width="13.21875" bestFit="1" customWidth="1"/>
    <col min="13" max="13" width="9.77734375" bestFit="1" customWidth="1"/>
    <col min="14" max="14" width="10.109375" bestFit="1" customWidth="1"/>
    <col min="15" max="33" width="9.77734375" bestFit="1" customWidth="1"/>
    <col min="34" max="36" width="9.109375" bestFit="1" customWidth="1"/>
    <col min="37" max="37" width="10.109375" bestFit="1" customWidth="1"/>
    <col min="38" max="38" width="8.77734375" bestFit="1" customWidth="1"/>
    <col min="39" max="42" width="9.109375" bestFit="1" customWidth="1"/>
    <col min="43" max="44" width="9.77734375" bestFit="1" customWidth="1"/>
    <col min="45" max="45" width="10.109375" bestFit="1" customWidth="1"/>
    <col min="46" max="47" width="9.77734375" bestFit="1" customWidth="1"/>
    <col min="48" max="48" width="10.109375" bestFit="1" customWidth="1"/>
    <col min="49" max="59" width="9.77734375" bestFit="1" customWidth="1"/>
    <col min="60" max="60" width="10.109375" bestFit="1" customWidth="1"/>
    <col min="61" max="62" width="9.77734375" bestFit="1" customWidth="1"/>
    <col min="63" max="71" width="9.109375" bestFit="1" customWidth="1"/>
    <col min="72" max="72" width="9.77734375" bestFit="1" customWidth="1"/>
    <col min="73" max="73" width="10.109375" bestFit="1" customWidth="1"/>
    <col min="74" max="91" width="9.77734375" bestFit="1" customWidth="1"/>
    <col min="92" max="92" width="10.109375" bestFit="1" customWidth="1"/>
    <col min="93" max="93" width="9.77734375" bestFit="1" customWidth="1"/>
    <col min="94" max="100" width="9.109375" bestFit="1" customWidth="1"/>
    <col min="101" max="101" width="8.77734375" bestFit="1" customWidth="1"/>
    <col min="102" max="102" width="9.109375" bestFit="1" customWidth="1"/>
    <col min="103" max="111" width="9.77734375" bestFit="1" customWidth="1"/>
    <col min="112" max="112" width="10.109375" bestFit="1" customWidth="1"/>
    <col min="113" max="120" width="9.77734375" bestFit="1" customWidth="1"/>
    <col min="121" max="121" width="10.109375" bestFit="1" customWidth="1"/>
    <col min="122" max="123" width="9.77734375" bestFit="1" customWidth="1"/>
    <col min="124" max="132" width="9.109375" bestFit="1" customWidth="1"/>
    <col min="133" max="154" width="9.77734375" bestFit="1" customWidth="1"/>
    <col min="155" max="163" width="9.109375" bestFit="1" customWidth="1"/>
    <col min="164" max="165" width="10.109375" bestFit="1" customWidth="1"/>
    <col min="166" max="175" width="9.77734375" bestFit="1" customWidth="1"/>
    <col min="176" max="176" width="10.109375" bestFit="1" customWidth="1"/>
    <col min="177" max="184" width="9.77734375" bestFit="1" customWidth="1"/>
    <col min="185" max="186" width="9.109375" bestFit="1" customWidth="1"/>
    <col min="187" max="187" width="10.109375" bestFit="1" customWidth="1"/>
    <col min="188" max="193" width="9.109375" bestFit="1" customWidth="1"/>
    <col min="194" max="199" width="9.77734375" bestFit="1" customWidth="1"/>
    <col min="200" max="200" width="10.109375" bestFit="1" customWidth="1"/>
    <col min="201" max="211" width="9.77734375" bestFit="1" customWidth="1"/>
    <col min="212" max="212" width="10.109375" bestFit="1" customWidth="1"/>
    <col min="213" max="215" width="9.77734375" bestFit="1" customWidth="1"/>
    <col min="216" max="224" width="9.109375" bestFit="1" customWidth="1"/>
    <col min="225" max="229" width="9.77734375" bestFit="1" customWidth="1"/>
    <col min="230" max="230" width="10.109375" bestFit="1" customWidth="1"/>
    <col min="231" max="233" width="9.77734375" bestFit="1" customWidth="1"/>
    <col min="234" max="234" width="10.109375" bestFit="1" customWidth="1"/>
    <col min="235" max="245" width="9.77734375" bestFit="1" customWidth="1"/>
    <col min="246" max="246" width="8.77734375" bestFit="1" customWidth="1"/>
    <col min="247" max="251" width="9.109375" bestFit="1" customWidth="1"/>
    <col min="252" max="252" width="10.109375" bestFit="1" customWidth="1"/>
    <col min="253" max="254" width="9.109375" bestFit="1" customWidth="1"/>
    <col min="255" max="261" width="9.77734375" bestFit="1" customWidth="1"/>
    <col min="262" max="262" width="10.109375" bestFit="1" customWidth="1"/>
    <col min="263" max="266" width="9.77734375" bestFit="1" customWidth="1"/>
    <col min="267" max="267" width="10.109375" bestFit="1" customWidth="1"/>
    <col min="268" max="268" width="9.77734375" bestFit="1" customWidth="1"/>
    <col min="269" max="269" width="10.109375" bestFit="1" customWidth="1"/>
    <col min="270" max="284" width="9.77734375" bestFit="1" customWidth="1"/>
    <col min="285" max="306" width="10.77734375" bestFit="1" customWidth="1"/>
    <col min="307" max="310" width="9.77734375" bestFit="1" customWidth="1"/>
    <col min="311" max="311" width="10.109375" bestFit="1" customWidth="1"/>
    <col min="312" max="315" width="9.77734375" bestFit="1" customWidth="1"/>
    <col min="316" max="336" width="10.77734375" bestFit="1" customWidth="1"/>
    <col min="337" max="337" width="10.109375" bestFit="1" customWidth="1"/>
    <col min="338" max="343" width="9.77734375" bestFit="1" customWidth="1"/>
    <col min="344" max="344" width="10.109375" bestFit="1" customWidth="1"/>
    <col min="345" max="345" width="9.77734375" bestFit="1" customWidth="1"/>
    <col min="346" max="366" width="10.77734375" bestFit="1" customWidth="1"/>
    <col min="367" max="367" width="12.6640625" bestFit="1" customWidth="1"/>
  </cols>
  <sheetData>
    <row r="3" spans="2:12" x14ac:dyDescent="0.3">
      <c r="B3" t="s">
        <v>28</v>
      </c>
      <c r="D3" t="s">
        <v>31</v>
      </c>
      <c r="F3" t="s">
        <v>32</v>
      </c>
      <c r="H3" t="s">
        <v>33</v>
      </c>
      <c r="J3" t="s">
        <v>34</v>
      </c>
      <c r="L3" t="s">
        <v>35</v>
      </c>
    </row>
    <row r="4" spans="2:12" x14ac:dyDescent="0.3">
      <c r="B4" s="2">
        <v>2125884.5499999998</v>
      </c>
      <c r="D4" s="2">
        <v>745327.77</v>
      </c>
      <c r="F4" s="2">
        <v>1380556.78</v>
      </c>
      <c r="H4" s="1">
        <v>40248</v>
      </c>
      <c r="J4" s="1">
        <v>4</v>
      </c>
      <c r="L4" s="1">
        <v>16</v>
      </c>
    </row>
    <row r="10" spans="2:12" x14ac:dyDescent="0.3">
      <c r="B10" s="3" t="s">
        <v>29</v>
      </c>
      <c r="C10" t="s">
        <v>28</v>
      </c>
    </row>
    <row r="11" spans="2:12" x14ac:dyDescent="0.3">
      <c r="B11" s="4" t="s">
        <v>19</v>
      </c>
      <c r="C11" s="2">
        <v>114753.71</v>
      </c>
    </row>
    <row r="12" spans="2:12" x14ac:dyDescent="0.3">
      <c r="B12" s="4" t="s">
        <v>24</v>
      </c>
      <c r="C12" s="2">
        <v>116202.55</v>
      </c>
    </row>
    <row r="13" spans="2:12" x14ac:dyDescent="0.3">
      <c r="B13" s="4" t="s">
        <v>20</v>
      </c>
      <c r="C13" s="2">
        <v>118207.2</v>
      </c>
    </row>
    <row r="14" spans="2:12" x14ac:dyDescent="0.3">
      <c r="B14" s="4" t="s">
        <v>6</v>
      </c>
      <c r="C14" s="2">
        <v>118773.12</v>
      </c>
    </row>
    <row r="15" spans="2:12" x14ac:dyDescent="0.3">
      <c r="B15" s="4" t="s">
        <v>9</v>
      </c>
      <c r="C15" s="2">
        <v>126170.54</v>
      </c>
    </row>
    <row r="16" spans="2:12" x14ac:dyDescent="0.3">
      <c r="B16" s="4" t="s">
        <v>25</v>
      </c>
      <c r="C16" s="2">
        <v>127518.19</v>
      </c>
    </row>
    <row r="17" spans="2:3" x14ac:dyDescent="0.3">
      <c r="B17" s="4" t="s">
        <v>26</v>
      </c>
      <c r="C17" s="2">
        <v>129334.01</v>
      </c>
    </row>
    <row r="18" spans="2:3" x14ac:dyDescent="0.3">
      <c r="B18" s="4" t="s">
        <v>13</v>
      </c>
      <c r="C18" s="2">
        <v>129797.7</v>
      </c>
    </row>
    <row r="19" spans="2:3" x14ac:dyDescent="0.3">
      <c r="B19" s="4" t="s">
        <v>18</v>
      </c>
      <c r="C19" s="2">
        <v>135719.9</v>
      </c>
    </row>
    <row r="20" spans="2:3" x14ac:dyDescent="0.3">
      <c r="B20" s="4" t="s">
        <v>23</v>
      </c>
      <c r="C20" s="2">
        <v>136918.32999999999</v>
      </c>
    </row>
    <row r="21" spans="2:3" x14ac:dyDescent="0.3">
      <c r="B21" s="4" t="s">
        <v>21</v>
      </c>
      <c r="C21" s="2">
        <v>140357.10999999999</v>
      </c>
    </row>
    <row r="22" spans="2:3" x14ac:dyDescent="0.3">
      <c r="B22" s="4" t="s">
        <v>22</v>
      </c>
      <c r="C22" s="2">
        <v>141274.65</v>
      </c>
    </row>
    <row r="23" spans="2:3" x14ac:dyDescent="0.3">
      <c r="B23" s="4" t="s">
        <v>27</v>
      </c>
      <c r="C23" s="2">
        <v>143763.88</v>
      </c>
    </row>
    <row r="24" spans="2:3" x14ac:dyDescent="0.3">
      <c r="B24" s="4" t="s">
        <v>2</v>
      </c>
      <c r="C24" s="2">
        <v>144690.04999999999</v>
      </c>
    </row>
    <row r="25" spans="2:3" x14ac:dyDescent="0.3">
      <c r="B25" s="4" t="s">
        <v>16</v>
      </c>
      <c r="C25" s="2">
        <v>148769.22</v>
      </c>
    </row>
    <row r="26" spans="2:3" x14ac:dyDescent="0.3">
      <c r="B26" s="4" t="s">
        <v>11</v>
      </c>
      <c r="C26" s="2">
        <v>153634.39000000001</v>
      </c>
    </row>
    <row r="27" spans="2:3" x14ac:dyDescent="0.3">
      <c r="B27" s="4" t="s">
        <v>30</v>
      </c>
      <c r="C27" s="2">
        <v>2125884.5499999998</v>
      </c>
    </row>
    <row r="37" spans="2:3" x14ac:dyDescent="0.3">
      <c r="B37" s="3" t="s">
        <v>29</v>
      </c>
      <c r="C37" t="s">
        <v>28</v>
      </c>
    </row>
    <row r="38" spans="2:3" x14ac:dyDescent="0.3">
      <c r="B38" s="4" t="s">
        <v>1</v>
      </c>
      <c r="C38" s="2">
        <v>539750.57999999996</v>
      </c>
    </row>
    <row r="39" spans="2:3" x14ac:dyDescent="0.3">
      <c r="B39" s="4" t="s">
        <v>8</v>
      </c>
      <c r="C39" s="2">
        <v>564843.46</v>
      </c>
    </row>
    <row r="40" spans="2:3" x14ac:dyDescent="0.3">
      <c r="B40" s="4" t="s">
        <v>17</v>
      </c>
      <c r="C40" s="2">
        <v>484883.36</v>
      </c>
    </row>
    <row r="41" spans="2:3" x14ac:dyDescent="0.3">
      <c r="B41" s="4" t="s">
        <v>12</v>
      </c>
      <c r="C41" s="2">
        <v>536407.15</v>
      </c>
    </row>
    <row r="42" spans="2:3" x14ac:dyDescent="0.3">
      <c r="B42" s="4" t="s">
        <v>30</v>
      </c>
      <c r="C42" s="2">
        <v>2125884.5499999998</v>
      </c>
    </row>
    <row r="54" spans="2:3" x14ac:dyDescent="0.3">
      <c r="B54" s="3" t="s">
        <v>29</v>
      </c>
      <c r="C54" t="s">
        <v>28</v>
      </c>
    </row>
    <row r="55" spans="2:3" x14ac:dyDescent="0.3">
      <c r="B55" s="4" t="s">
        <v>0</v>
      </c>
      <c r="C55" s="2">
        <v>517778.33</v>
      </c>
    </row>
    <row r="56" spans="2:3" x14ac:dyDescent="0.3">
      <c r="B56" s="4" t="s">
        <v>7</v>
      </c>
      <c r="C56" s="2">
        <v>526053.18999999994</v>
      </c>
    </row>
    <row r="57" spans="2:3" x14ac:dyDescent="0.3">
      <c r="B57" s="4" t="s">
        <v>5</v>
      </c>
      <c r="C57" s="2">
        <v>541153.93000000005</v>
      </c>
    </row>
    <row r="58" spans="2:3" x14ac:dyDescent="0.3">
      <c r="B58" s="4" t="s">
        <v>15</v>
      </c>
      <c r="C58" s="2">
        <v>540899.1</v>
      </c>
    </row>
    <row r="59" spans="2:3" x14ac:dyDescent="0.3">
      <c r="B59" s="4" t="s">
        <v>30</v>
      </c>
      <c r="C59" s="2">
        <v>2125884.5499999998</v>
      </c>
    </row>
    <row r="66" spans="2:3" x14ac:dyDescent="0.3">
      <c r="B66" s="3" t="s">
        <v>29</v>
      </c>
      <c r="C66" t="s">
        <v>28</v>
      </c>
    </row>
    <row r="67" spans="2:3" x14ac:dyDescent="0.3">
      <c r="B67" s="4" t="s">
        <v>3</v>
      </c>
      <c r="C67" s="2">
        <v>1095628.02</v>
      </c>
    </row>
    <row r="68" spans="2:3" x14ac:dyDescent="0.3">
      <c r="B68" s="4" t="s">
        <v>10</v>
      </c>
      <c r="C68" s="2">
        <v>1030256.53</v>
      </c>
    </row>
    <row r="69" spans="2:3" x14ac:dyDescent="0.3">
      <c r="B69" s="4" t="s">
        <v>30</v>
      </c>
      <c r="C69" s="2">
        <v>2125884.5499999998</v>
      </c>
    </row>
    <row r="81" spans="2:4" x14ac:dyDescent="0.3">
      <c r="B81" s="3" t="s">
        <v>29</v>
      </c>
      <c r="C81" t="s">
        <v>48</v>
      </c>
      <c r="D81" t="s">
        <v>49</v>
      </c>
    </row>
    <row r="82" spans="2:4" x14ac:dyDescent="0.3">
      <c r="B82" s="4" t="s">
        <v>19</v>
      </c>
      <c r="C82" s="1">
        <v>2068</v>
      </c>
      <c r="D82" s="1">
        <v>8087</v>
      </c>
    </row>
    <row r="83" spans="2:4" x14ac:dyDescent="0.3">
      <c r="B83" s="4" t="s">
        <v>6</v>
      </c>
      <c r="C83" s="1">
        <v>2192</v>
      </c>
      <c r="D83" s="1">
        <v>8732</v>
      </c>
    </row>
    <row r="84" spans="2:4" x14ac:dyDescent="0.3">
      <c r="B84" s="4" t="s">
        <v>26</v>
      </c>
      <c r="C84" s="1">
        <v>2294</v>
      </c>
      <c r="D84" s="1">
        <v>9229</v>
      </c>
    </row>
    <row r="85" spans="2:4" x14ac:dyDescent="0.3">
      <c r="B85" s="4" t="s">
        <v>24</v>
      </c>
      <c r="C85" s="1">
        <v>2454</v>
      </c>
      <c r="D85" s="1">
        <v>9326</v>
      </c>
    </row>
    <row r="86" spans="2:4" x14ac:dyDescent="0.3">
      <c r="B86" s="4" t="s">
        <v>13</v>
      </c>
      <c r="C86" s="1">
        <v>2432</v>
      </c>
      <c r="D86" s="1">
        <v>9429</v>
      </c>
    </row>
    <row r="87" spans="2:4" x14ac:dyDescent="0.3">
      <c r="B87" s="4" t="s">
        <v>25</v>
      </c>
      <c r="C87" s="1">
        <v>2436</v>
      </c>
      <c r="D87" s="1">
        <v>9871</v>
      </c>
    </row>
    <row r="88" spans="2:4" x14ac:dyDescent="0.3">
      <c r="B88" s="4" t="s">
        <v>9</v>
      </c>
      <c r="C88" s="1">
        <v>2400</v>
      </c>
      <c r="D88" s="1">
        <v>9896</v>
      </c>
    </row>
    <row r="89" spans="2:4" x14ac:dyDescent="0.3">
      <c r="B89" s="4" t="s">
        <v>20</v>
      </c>
      <c r="C89" s="1">
        <v>2485</v>
      </c>
      <c r="D89" s="1">
        <v>10185</v>
      </c>
    </row>
    <row r="90" spans="2:4" x14ac:dyDescent="0.3">
      <c r="B90" s="4" t="s">
        <v>2</v>
      </c>
      <c r="C90" s="1">
        <v>2597</v>
      </c>
      <c r="D90" s="1">
        <v>10195</v>
      </c>
    </row>
    <row r="91" spans="2:4" x14ac:dyDescent="0.3">
      <c r="B91" s="4" t="s">
        <v>21</v>
      </c>
      <c r="C91" s="1">
        <v>2627</v>
      </c>
      <c r="D91" s="1">
        <v>10215</v>
      </c>
    </row>
    <row r="92" spans="2:4" x14ac:dyDescent="0.3">
      <c r="B92" s="4" t="s">
        <v>23</v>
      </c>
      <c r="C92" s="1">
        <v>2644</v>
      </c>
      <c r="D92" s="1">
        <v>10317</v>
      </c>
    </row>
    <row r="93" spans="2:4" x14ac:dyDescent="0.3">
      <c r="B93" s="4" t="s">
        <v>22</v>
      </c>
      <c r="C93" s="1">
        <v>2578</v>
      </c>
      <c r="D93" s="1">
        <v>10344</v>
      </c>
    </row>
    <row r="94" spans="2:4" x14ac:dyDescent="0.3">
      <c r="B94" s="4" t="s">
        <v>27</v>
      </c>
      <c r="C94" s="1">
        <v>2642</v>
      </c>
      <c r="D94" s="1">
        <v>10598</v>
      </c>
    </row>
    <row r="95" spans="2:4" x14ac:dyDescent="0.3">
      <c r="B95" s="4" t="s">
        <v>16</v>
      </c>
      <c r="C95" s="1">
        <v>2778</v>
      </c>
      <c r="D95" s="1">
        <v>10950</v>
      </c>
    </row>
    <row r="96" spans="2:4" x14ac:dyDescent="0.3">
      <c r="B96" s="4" t="s">
        <v>18</v>
      </c>
      <c r="C96" s="1">
        <v>2739</v>
      </c>
      <c r="D96" s="1">
        <v>10974</v>
      </c>
    </row>
    <row r="97" spans="2:5" x14ac:dyDescent="0.3">
      <c r="B97" s="4" t="s">
        <v>11</v>
      </c>
      <c r="C97" s="1">
        <v>2882</v>
      </c>
      <c r="D97" s="1">
        <v>11505</v>
      </c>
    </row>
    <row r="98" spans="2:5" x14ac:dyDescent="0.3">
      <c r="B98" s="4" t="s">
        <v>30</v>
      </c>
      <c r="C98" s="1">
        <v>40248</v>
      </c>
      <c r="D98" s="1">
        <v>159853</v>
      </c>
    </row>
    <row r="109" spans="2:5" x14ac:dyDescent="0.3">
      <c r="B109" s="3" t="s">
        <v>29</v>
      </c>
      <c r="C109" t="s">
        <v>28</v>
      </c>
      <c r="D109" t="s">
        <v>32</v>
      </c>
      <c r="E109" t="s">
        <v>31</v>
      </c>
    </row>
    <row r="110" spans="2:5" x14ac:dyDescent="0.3">
      <c r="B110" s="4" t="s">
        <v>4</v>
      </c>
      <c r="C110" s="2">
        <v>1089048.8</v>
      </c>
      <c r="D110" s="2">
        <v>706108.11</v>
      </c>
      <c r="E110" s="2">
        <v>382940.69</v>
      </c>
    </row>
    <row r="111" spans="2:5" x14ac:dyDescent="0.3">
      <c r="B111" s="4" t="s">
        <v>14</v>
      </c>
      <c r="C111" s="2">
        <v>1036835.75</v>
      </c>
      <c r="D111" s="2">
        <v>674448.67</v>
      </c>
      <c r="E111" s="2">
        <v>362387.08</v>
      </c>
    </row>
    <row r="112" spans="2:5" x14ac:dyDescent="0.3">
      <c r="B112" s="4" t="s">
        <v>30</v>
      </c>
      <c r="C112" s="2">
        <v>2125884.5499999998</v>
      </c>
      <c r="D112" s="2">
        <v>1380556.78</v>
      </c>
      <c r="E112" s="2">
        <v>745327.77</v>
      </c>
    </row>
    <row r="121" spans="2:3" x14ac:dyDescent="0.3">
      <c r="B121" s="3" t="s">
        <v>29</v>
      </c>
      <c r="C121" t="s">
        <v>28</v>
      </c>
    </row>
    <row r="122" spans="2:3" x14ac:dyDescent="0.3">
      <c r="B122" s="4" t="s">
        <v>19</v>
      </c>
      <c r="C122" s="5">
        <v>114753.71</v>
      </c>
    </row>
    <row r="123" spans="2:3" x14ac:dyDescent="0.3">
      <c r="B123" s="4" t="s">
        <v>24</v>
      </c>
      <c r="C123" s="5">
        <v>116202.55</v>
      </c>
    </row>
    <row r="124" spans="2:3" x14ac:dyDescent="0.3">
      <c r="B124" s="4" t="s">
        <v>20</v>
      </c>
      <c r="C124" s="5">
        <v>118207.2</v>
      </c>
    </row>
    <row r="125" spans="2:3" x14ac:dyDescent="0.3">
      <c r="B125" s="4" t="s">
        <v>6</v>
      </c>
      <c r="C125" s="5">
        <v>118773.12</v>
      </c>
    </row>
    <row r="126" spans="2:3" x14ac:dyDescent="0.3">
      <c r="B126" s="4" t="s">
        <v>9</v>
      </c>
      <c r="C126" s="5">
        <v>126170.54</v>
      </c>
    </row>
    <row r="127" spans="2:3" x14ac:dyDescent="0.3">
      <c r="B127" s="4" t="s">
        <v>25</v>
      </c>
      <c r="C127" s="5">
        <v>127518.19</v>
      </c>
    </row>
    <row r="128" spans="2:3" x14ac:dyDescent="0.3">
      <c r="B128" s="4" t="s">
        <v>26</v>
      </c>
      <c r="C128" s="5">
        <v>129334.01</v>
      </c>
    </row>
    <row r="129" spans="2:3" x14ac:dyDescent="0.3">
      <c r="B129" s="4" t="s">
        <v>13</v>
      </c>
      <c r="C129" s="5">
        <v>129797.7</v>
      </c>
    </row>
    <row r="130" spans="2:3" x14ac:dyDescent="0.3">
      <c r="B130" s="4" t="s">
        <v>18</v>
      </c>
      <c r="C130" s="5">
        <v>135719.9</v>
      </c>
    </row>
    <row r="131" spans="2:3" x14ac:dyDescent="0.3">
      <c r="B131" s="4" t="s">
        <v>23</v>
      </c>
      <c r="C131" s="5">
        <v>136918.32999999999</v>
      </c>
    </row>
    <row r="132" spans="2:3" x14ac:dyDescent="0.3">
      <c r="B132" s="4" t="s">
        <v>21</v>
      </c>
      <c r="C132" s="5">
        <v>140357.10999999999</v>
      </c>
    </row>
    <row r="133" spans="2:3" x14ac:dyDescent="0.3">
      <c r="B133" s="4" t="s">
        <v>22</v>
      </c>
      <c r="C133" s="5">
        <v>141274.65</v>
      </c>
    </row>
    <row r="134" spans="2:3" x14ac:dyDescent="0.3">
      <c r="B134" s="4" t="s">
        <v>27</v>
      </c>
      <c r="C134" s="5">
        <v>143763.88</v>
      </c>
    </row>
    <row r="135" spans="2:3" x14ac:dyDescent="0.3">
      <c r="B135" s="4" t="s">
        <v>2</v>
      </c>
      <c r="C135" s="5">
        <v>144690.04999999999</v>
      </c>
    </row>
    <row r="136" spans="2:3" x14ac:dyDescent="0.3">
      <c r="B136" s="4" t="s">
        <v>16</v>
      </c>
      <c r="C136" s="5">
        <v>148769.22</v>
      </c>
    </row>
    <row r="137" spans="2:3" x14ac:dyDescent="0.3">
      <c r="B137" s="4" t="s">
        <v>11</v>
      </c>
      <c r="C137" s="5">
        <v>153634.39000000001</v>
      </c>
    </row>
    <row r="138" spans="2:3" x14ac:dyDescent="0.3">
      <c r="B138" s="4" t="s">
        <v>30</v>
      </c>
      <c r="C138" s="5">
        <v>2125884.5499999998</v>
      </c>
    </row>
    <row r="147" spans="2:3" x14ac:dyDescent="0.3">
      <c r="B147" s="3" t="s">
        <v>29</v>
      </c>
      <c r="C147" t="s">
        <v>28</v>
      </c>
    </row>
    <row r="148" spans="2:3" x14ac:dyDescent="0.3">
      <c r="B148" s="4" t="s">
        <v>36</v>
      </c>
      <c r="C148" s="2">
        <v>160946.14000000001</v>
      </c>
    </row>
    <row r="149" spans="2:3" x14ac:dyDescent="0.3">
      <c r="B149" s="4" t="s">
        <v>37</v>
      </c>
      <c r="C149" s="2">
        <v>165230.98000000001</v>
      </c>
    </row>
    <row r="150" spans="2:3" x14ac:dyDescent="0.3">
      <c r="B150" s="4" t="s">
        <v>38</v>
      </c>
      <c r="C150" s="2">
        <v>175423.72</v>
      </c>
    </row>
    <row r="151" spans="2:3" x14ac:dyDescent="0.3">
      <c r="B151" s="4" t="s">
        <v>39</v>
      </c>
      <c r="C151" s="2">
        <v>183729.05</v>
      </c>
    </row>
    <row r="152" spans="2:3" x14ac:dyDescent="0.3">
      <c r="B152" s="4" t="s">
        <v>40</v>
      </c>
      <c r="C152" s="2">
        <v>166900.42000000001</v>
      </c>
    </row>
    <row r="153" spans="2:3" x14ac:dyDescent="0.3">
      <c r="B153" s="4" t="s">
        <v>41</v>
      </c>
      <c r="C153" s="2">
        <v>177065.26</v>
      </c>
    </row>
    <row r="154" spans="2:3" x14ac:dyDescent="0.3">
      <c r="B154" s="4" t="s">
        <v>42</v>
      </c>
      <c r="C154" s="2">
        <v>196426.35</v>
      </c>
    </row>
    <row r="155" spans="2:3" x14ac:dyDescent="0.3">
      <c r="B155" s="4" t="s">
        <v>43</v>
      </c>
      <c r="C155" s="2">
        <v>167662.32</v>
      </c>
    </row>
    <row r="156" spans="2:3" x14ac:dyDescent="0.3">
      <c r="B156" s="4" t="s">
        <v>44</v>
      </c>
      <c r="C156" s="2">
        <v>178031.22</v>
      </c>
    </row>
    <row r="157" spans="2:3" x14ac:dyDescent="0.3">
      <c r="B157" s="4" t="s">
        <v>45</v>
      </c>
      <c r="C157" s="2">
        <v>189592.39</v>
      </c>
    </row>
    <row r="158" spans="2:3" x14ac:dyDescent="0.3">
      <c r="B158" s="4" t="s">
        <v>46</v>
      </c>
      <c r="C158" s="2">
        <v>150154.72</v>
      </c>
    </row>
    <row r="159" spans="2:3" x14ac:dyDescent="0.3">
      <c r="B159" s="4" t="s">
        <v>47</v>
      </c>
      <c r="C159" s="2">
        <v>214721.98</v>
      </c>
    </row>
    <row r="160" spans="2:3" x14ac:dyDescent="0.3">
      <c r="B160" s="4" t="s">
        <v>30</v>
      </c>
      <c r="C160" s="2">
        <v>2125884.5499999998</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zoomScale="75" zoomScaleNormal="75" workbookViewId="0">
      <selection activeCell="A39" sqref="A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AFD768-F010-45F1-8387-9C7936E8C2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Hadiir</dc:creator>
  <cp:lastModifiedBy>Hadir Mourad</cp:lastModifiedBy>
  <dcterms:created xsi:type="dcterms:W3CDTF">2025-07-21T09:59:32Z</dcterms:created>
  <dcterms:modified xsi:type="dcterms:W3CDTF">2025-12-17T00:17:54Z</dcterms:modified>
</cp:coreProperties>
</file>