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ITI DA\a5 Freelancing\6 Excel\"/>
    </mc:Choice>
  </mc:AlternateContent>
  <xr:revisionPtr revIDLastSave="0" documentId="13_ncr:1_{52587B7B-C7C1-4317-9AAF-86F82B792AD4}" xr6:coauthVersionLast="47" xr6:coauthVersionMax="47" xr10:uidLastSave="{00000000-0000-0000-0000-000000000000}"/>
  <bookViews>
    <workbookView xWindow="-108" yWindow="-108" windowWidth="23256" windowHeight="12456" firstSheet="1" activeTab="5" xr2:uid="{00000000-000D-0000-FFFF-FFFF00000000}"/>
  </bookViews>
  <sheets>
    <sheet name="cleaned_data" sheetId="7" r:id="rId1"/>
    <sheet name="sales_by_country" sheetId="10" r:id="rId2"/>
    <sheet name="profit_by_category" sheetId="9" r:id="rId3"/>
    <sheet name="kpi_summary" sheetId="8" r:id="rId4"/>
    <sheet name="Pivot" sheetId="12" r:id="rId5"/>
    <sheet name="DashBoard" sheetId="1" r:id="rId6"/>
  </sheets>
  <definedNames>
    <definedName name="_xlchart.v5.0" hidden="1">sales_by_country!$A$1</definedName>
    <definedName name="_xlchart.v5.1" hidden="1">sales_by_country!$A$2:$A$5</definedName>
    <definedName name="_xlchart.v5.10" hidden="1">sales_by_country!$B$1</definedName>
    <definedName name="_xlchart.v5.11" hidden="1">sales_by_country!$B$2:$B$5</definedName>
    <definedName name="_xlchart.v5.2" hidden="1">sales_by_country!$B$1</definedName>
    <definedName name="_xlchart.v5.3" hidden="1">sales_by_country!$B$2:$B$5</definedName>
    <definedName name="_xlchart.v5.4" hidden="1">sales_by_country!$A$1</definedName>
    <definedName name="_xlchart.v5.5" hidden="1">sales_by_country!$A$2:$A$5</definedName>
    <definedName name="_xlchart.v5.6" hidden="1">sales_by_country!$B$1</definedName>
    <definedName name="_xlchart.v5.7" hidden="1">sales_by_country!$B$2:$B$5</definedName>
    <definedName name="_xlchart.v5.8" hidden="1">sales_by_country!$A$1</definedName>
    <definedName name="_xlchart.v5.9" hidden="1">sales_by_country!$A$2:$A$5</definedName>
    <definedName name="ExternalData_6" localSheetId="0" hidden="1">'cleaned_data'!$A$1:$O$16</definedName>
    <definedName name="ExternalData_7" localSheetId="3" hidden="1">kpi_summary!$A$1:$B$7</definedName>
    <definedName name="ExternalData_8" localSheetId="2" hidden="1">profit_by_category!$A$1:$B$7</definedName>
    <definedName name="ExternalData_9" localSheetId="1" hidden="1">sales_by_country!$A$1:$B$5</definedName>
    <definedName name="NativeTimeline_Order_Date">#N/A</definedName>
    <definedName name="Slicer_Product_Category">#N/A</definedName>
  </definedNames>
  <calcPr calcId="0"/>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88F92B-14CC-4B7C-86A3-DBC6BDA2F0FF}" keepAlive="1" name="Query - cleaned_data" description="Connection to the 'cleaned_data' query in the workbook." type="5" refreshedVersion="7" background="1" saveData="1">
    <dbPr connection="Provider=Microsoft.Mashup.OleDb.1;Data Source=$Workbook$;Location=cleaned_data;Extended Properties=&quot;&quot;" command="SELECT * FROM [cleaned_data]"/>
  </connection>
  <connection id="2" xr16:uid="{23ABAE0C-8C69-43AB-A4B6-53467239FA39}" keepAlive="1" name="Query - kpi_summary" description="Connection to the 'kpi_summary' query in the workbook." type="5" refreshedVersion="7" background="1" saveData="1">
    <dbPr connection="Provider=Microsoft.Mashup.OleDb.1;Data Source=$Workbook$;Location=kpi_summary;Extended Properties=&quot;&quot;" command="SELECT * FROM [kpi_summary]"/>
  </connection>
  <connection id="3" xr16:uid="{9D9EE8FA-F819-4FD2-B365-56950DBF84B2}" keepAlive="1" name="Query - Pivot" description="Connection to the 'Pivot' query in the workbook." type="5" refreshedVersion="0" background="1">
    <dbPr connection="Provider=Microsoft.Mashup.OleDb.1;Data Source=$Workbook$;Location=Pivot;Extended Properties=&quot;&quot;" command="SELECT * FROM [Pivot]"/>
  </connection>
  <connection id="4" xr16:uid="{90FA7782-5134-44E3-86CA-B35E22FA13C6}" keepAlive="1" name="Query - profit_by_category" description="Connection to the 'profit_by_category' query in the workbook." type="5" refreshedVersion="7" background="1" saveData="1">
    <dbPr connection="Provider=Microsoft.Mashup.OleDb.1;Data Source=$Workbook$;Location=profit_by_category;Extended Properties=&quot;&quot;" command="SELECT * FROM [profit_by_category]"/>
  </connection>
  <connection id="5" xr16:uid="{8048D55D-E3B4-49C2-BDBB-AC768023E1D6}" keepAlive="1" name="Query - sales_by_country" description="Connection to the 'sales_by_country' query in the workbook." type="5" refreshedVersion="7" background="1" saveData="1">
    <dbPr connection="Provider=Microsoft.Mashup.OleDb.1;Data Source=$Workbook$;Location=sales_by_country;Extended Properties=&quot;&quot;" command="SELECT * FROM [sales_by_country]"/>
  </connection>
  <connection id="6" xr16:uid="{DFB57788-512B-48B9-9ADD-CCE6F52F30B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7" xr16:uid="{6050D27C-6EE4-492E-99F0-697D5E5CFB1E}" keepAlive="1" name="Query - Table2" description="Connection to the 'Table2' query in the workbook." type="5" refreshedVersion="7" background="1" saveData="1">
    <dbPr connection="Provider=Microsoft.Mashup.OleDb.1;Data Source=$Workbook$;Location=Table2;Extended Properties=&quot;&quot;" command="SELECT * FROM [Table2]"/>
  </connection>
  <connection id="8" xr16:uid="{D31B663C-BEA8-4CA1-A8F7-980461D77D36}" keepAlive="1" name="Query - Table3" description="Connection to the 'Table3' query in the workbook." type="5" refreshedVersion="7" background="1" saveData="1">
    <dbPr connection="Provider=Microsoft.Mashup.OleDb.1;Data Source=$Workbook$;Location=Table3;Extended Properties=&quot;&quot;" command="SELECT * FROM [Table3]"/>
  </connection>
  <connection id="9" xr16:uid="{BD0469F6-122B-4CEA-A3D7-043963538294}" keepAlive="1" name="Query - Table4" description="Connection to the 'Table4' query in the workbook." type="5" refreshedVersion="7" background="1" saveData="1">
    <dbPr connection="Provider=Microsoft.Mashup.OleDb.1;Data Source=$Workbook$;Location=Table4;Extended Properties=&quot;&quot;" command="SELECT * FROM [Table4]"/>
  </connection>
  <connection id="10" xr16:uid="{C47ADCB8-A450-4366-AC39-1F48E11B51F8}" keepAlive="1" name="Query - Table5" description="Connection to the 'Table5' query in the workbook." type="5" refreshedVersion="7"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<sst xmlns="http://schemas.openxmlformats.org/spreadsheetml/2006/main" count="200" uniqueCount="107">
  <si>
    <t>Customer_ID</t>
  </si>
  <si>
    <t>Customer_Name</t>
  </si>
  <si>
    <t>Country</t>
  </si>
  <si>
    <t>Segment</t>
  </si>
  <si>
    <t>Product_Category</t>
  </si>
  <si>
    <t>Order_ID</t>
  </si>
  <si>
    <t>Order_Date</t>
  </si>
  <si>
    <t>Sales</t>
  </si>
  <si>
    <t>Quantity</t>
  </si>
  <si>
    <t>Discount</t>
  </si>
  <si>
    <t>Profit</t>
  </si>
  <si>
    <t>Customer_Satisfaction</t>
  </si>
  <si>
    <t>Net_Sales</t>
  </si>
  <si>
    <t>Profit_Margin_%</t>
  </si>
  <si>
    <t>C001</t>
  </si>
  <si>
    <t>Ahmed Ali</t>
  </si>
  <si>
    <t>Egypt</t>
  </si>
  <si>
    <t>Consumer</t>
  </si>
  <si>
    <t>Electronics</t>
  </si>
  <si>
    <t>ORD1001</t>
  </si>
  <si>
    <t>C002</t>
  </si>
  <si>
    <t>Sara Hassan</t>
  </si>
  <si>
    <t>Saudi Arabia</t>
  </si>
  <si>
    <t>Corporate</t>
  </si>
  <si>
    <t>Furniture</t>
  </si>
  <si>
    <t>ORD1002</t>
  </si>
  <si>
    <t>C003</t>
  </si>
  <si>
    <t>Mohamed Saleh</t>
  </si>
  <si>
    <t>UAE</t>
  </si>
  <si>
    <t>Home Office</t>
  </si>
  <si>
    <t>Office Supplies</t>
  </si>
  <si>
    <t>ORD1003</t>
  </si>
  <si>
    <t>C004</t>
  </si>
  <si>
    <t>Laila Omar</t>
  </si>
  <si>
    <t>Qatar</t>
  </si>
  <si>
    <t>Clothing</t>
  </si>
  <si>
    <t>ORD1004</t>
  </si>
  <si>
    <t>C005</t>
  </si>
  <si>
    <t>Khaled Zaki</t>
  </si>
  <si>
    <t>ORD1005</t>
  </si>
  <si>
    <t>C006</t>
  </si>
  <si>
    <t>Mona Fathy</t>
  </si>
  <si>
    <t>Beauty</t>
  </si>
  <si>
    <t>ORD1006</t>
  </si>
  <si>
    <t>C007</t>
  </si>
  <si>
    <t>Hani Nasser</t>
  </si>
  <si>
    <t>ORD1007</t>
  </si>
  <si>
    <t>C008</t>
  </si>
  <si>
    <t>Reem Adel</t>
  </si>
  <si>
    <t>ORD1008</t>
  </si>
  <si>
    <t>C009</t>
  </si>
  <si>
    <t>Ali Farid</t>
  </si>
  <si>
    <t>ORD1009</t>
  </si>
  <si>
    <t>C010</t>
  </si>
  <si>
    <t>Noha Salem</t>
  </si>
  <si>
    <t>ORD1010</t>
  </si>
  <si>
    <t>C011</t>
  </si>
  <si>
    <t>Tamer Hassan</t>
  </si>
  <si>
    <t>Home Appliances</t>
  </si>
  <si>
    <t>ORD1011</t>
  </si>
  <si>
    <t>C012</t>
  </si>
  <si>
    <t>Nada Mostafa</t>
  </si>
  <si>
    <t>ORD1012</t>
  </si>
  <si>
    <t>C013</t>
  </si>
  <si>
    <t>Amr Saeed</t>
  </si>
  <si>
    <t>ORD1013</t>
  </si>
  <si>
    <t>C014</t>
  </si>
  <si>
    <t>Salma Youssef</t>
  </si>
  <si>
    <t>ORD1014</t>
  </si>
  <si>
    <t>C015</t>
  </si>
  <si>
    <t>Hossam ElDeeb</t>
  </si>
  <si>
    <t>ORD1015</t>
  </si>
  <si>
    <t>Metric</t>
  </si>
  <si>
    <t>Value</t>
  </si>
  <si>
    <t>Total Orders</t>
  </si>
  <si>
    <t>Total Sales</t>
  </si>
  <si>
    <t>Total Net Sales</t>
  </si>
  <si>
    <t>Total Profit</t>
  </si>
  <si>
    <t>Avg Profit Margin %</t>
  </si>
  <si>
    <t>Avg Satisfaction</t>
  </si>
  <si>
    <t>Row Labels</t>
  </si>
  <si>
    <t>Grand Total</t>
  </si>
  <si>
    <t>Satisfaction_Bucket</t>
  </si>
  <si>
    <t>Good (4.0–4.5]</t>
  </si>
  <si>
    <t>Excellent (&gt;4.5]</t>
  </si>
  <si>
    <t>Medium (3.5–4.0]</t>
  </si>
  <si>
    <t>Nov</t>
  </si>
  <si>
    <t>Dec</t>
  </si>
  <si>
    <t>Average of Profit Margin</t>
  </si>
  <si>
    <t>Average of Customer Satisfaction</t>
  </si>
  <si>
    <t>2-Nov</t>
  </si>
  <si>
    <t>5-Nov</t>
  </si>
  <si>
    <t>10-Nov</t>
  </si>
  <si>
    <t>13-Nov</t>
  </si>
  <si>
    <t>16-Nov</t>
  </si>
  <si>
    <t>19-Nov</t>
  </si>
  <si>
    <t>21-Nov</t>
  </si>
  <si>
    <t>23-Nov</t>
  </si>
  <si>
    <t>25-Nov</t>
  </si>
  <si>
    <t>27-Nov</t>
  </si>
  <si>
    <t>29-Nov</t>
  </si>
  <si>
    <t>1-Dec</t>
  </si>
  <si>
    <t>2-Dec</t>
  </si>
  <si>
    <t>3-Dec</t>
  </si>
  <si>
    <t>4-Dec</t>
  </si>
  <si>
    <t>Date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</si>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</sst>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409]* #,##0.00_);_([$$-409]* \(#,##0.00\);_([$$-409]*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0" fillId="0" borderId="0" xfId="0" applyNumberFormat="1" applyFont="1"/>
    <xf numFmtId="22" fontId="0" fillId="0" borderId="0" xfId="0" applyNumberFormat="1" applyAlignment="1">
      <alignment horizontal="left" indent="1"/>
    </xf>
  </cellXfs>
  <cellStyles count="1">
    <cellStyle name="Normal" xfId="0" builtinId="0"/>
  </cellStyles>
  <dxfs count="16">
    <dxf>
      <numFmt numFmtId="164" formatCode="_([$$-409]* #,##0.00_);_([$$-409]* \(#,##0.00\);_([$$-409]* &quot;-&quot;??_);_(@_)"/>
    </dxf>
    <dxf>
      <font>
        <sz val="11"/>
      </font>
    </dxf>
    <dxf>
      <numFmt numFmtId="164" formatCode="_([$$-409]* #,##0.00_);_([$$-409]* \(#,##0.00\);_([$$-409]*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[DASHBOARD.xlsx]Pivot!Sales By Country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Pivot!$A$31:$A$35</c:f>
              <c:strCache>
                <c:ptCount val="4"/>
                <c:pt idx="0">
                  <c:v>Egypt</c:v>
                </c:pt>
                <c:pt idx="1">
                  <c:v>Qatar</c:v>
                </c:pt>
                <c:pt idx="2">
                  <c:v>Saudi Arabia</c:v>
                </c:pt>
                <c:pt idx="3">
                  <c:v>UAE</c:v>
                </c:pt>
              </c:strCache>
            </c:strRef>
          </c:cat>
          <c:val>
            <c:numRef>
              <c:f>Pivot!$B$31:$B$35</c:f>
              <c:numCache>
                <c:formatCode>General</c:formatCode>
                <c:ptCount val="4"/>
                <c:pt idx="0">
                  <c:v>8720</c:v>
                </c:pt>
                <c:pt idx="1">
                  <c:v>4130</c:v>
                </c:pt>
                <c:pt idx="2">
                  <c:v>5790</c:v>
                </c:pt>
                <c:pt idx="3">
                  <c:v>2620</c:v>
                </c:pt>
              </c:numCache>
            </c:numRef>
          </c:val>
          <c:extLst>
            <c:ext xmlns:c16="http://schemas.microsoft.com/office/drawing/2014/chart" uri="{C3380CC4-5D6E-409C-BE32-E72D297353CC}">
              <c16:uniqueId val="{00000000-ACEC-4BB3-BD87-050B02403AA4}"/>
            </c:ext>
          </c:extLst>
        </c:ser>
        <c:dLbls>
          <c:dLblPos val="outEnd"/>
          <c:showLegendKey val="0"/>
          <c:showVal val="1"/>
          <c:showCatName val="0"/>
          <c:showSerName val="0"/>
          <c:showPercent val="0"/>
          <c:showBubbleSize val="0"/>
        </c:dLbls>
        <c:gapWidth val="219"/>
        <c:overlap val="-27"/>
        <c:axId val="471223968"/>
        <c:axId val="474396928"/>
      </c:barChart>
      <c:catAx>
        <c:axId val="471223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96928"/>
        <c:crosses val="autoZero"/>
        <c:auto val="1"/>
        <c:lblAlgn val="ctr"/>
        <c:lblOffset val="100"/>
        <c:noMultiLvlLbl val="0"/>
      </c:catAx>
      <c:valAx>
        <c:axId val="474396928"/>
        <c:scaling>
          <c:orientation val="minMax"/>
        </c:scaling>
        <c:delete val="1"/>
        <c:axPos val="l"/>
        <c:numFmt formatCode="General" sourceLinked="1"/>
        <c:majorTickMark val="out"/>
        <c:minorTickMark val="none"/>
        <c:tickLblPos val="nextTo"/>
        <c:crossAx val="47122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[DASHBOARD.xlsx]Pivot!Sales By Date</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Total sales By Date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Pivot!$A$46:$A$63</c:f>
              <c:multiLvlStrCache>
                <c:ptCount val="15"/>
                <c:lvl>
                  <c:pt idx="0">
                    <c:v>2-Nov</c:v>
                  </c:pt>
                  <c:pt idx="1">
                    <c:v>5-Nov</c:v>
                  </c:pt>
                  <c:pt idx="2">
                    <c:v>10-Nov</c:v>
                  </c:pt>
                  <c:pt idx="3">
                    <c:v>13-Nov</c:v>
                  </c:pt>
                  <c:pt idx="4">
                    <c:v>16-Nov</c:v>
                  </c:pt>
                  <c:pt idx="5">
                    <c:v>19-Nov</c:v>
                  </c:pt>
                  <c:pt idx="6">
                    <c:v>21-Nov</c:v>
                  </c:pt>
                  <c:pt idx="7">
                    <c:v>23-Nov</c:v>
                  </c:pt>
                  <c:pt idx="8">
                    <c:v>25-Nov</c:v>
                  </c:pt>
                  <c:pt idx="9">
                    <c:v>27-Nov</c:v>
                  </c:pt>
                  <c:pt idx="10">
                    <c:v>29-Nov</c:v>
                  </c:pt>
                  <c:pt idx="11">
                    <c:v>1-Dec</c:v>
                  </c:pt>
                  <c:pt idx="12">
                    <c:v>2-Dec</c:v>
                  </c:pt>
                  <c:pt idx="13">
                    <c:v>3-Dec</c:v>
                  </c:pt>
                  <c:pt idx="14">
                    <c:v>4-Dec</c:v>
                  </c:pt>
                </c:lvl>
                <c:lvl>
                  <c:pt idx="0">
                    <c:v>Nov</c:v>
                  </c:pt>
                  <c:pt idx="11">
                    <c:v>Dec</c:v>
                  </c:pt>
                </c:lvl>
              </c:multiLvlStrCache>
            </c:multiLvlStrRef>
          </c:cat>
          <c:val>
            <c:numRef>
              <c:f>Pivot!$B$46:$B$63</c:f>
              <c:numCache>
                <c:formatCode>General</c:formatCode>
                <c:ptCount val="15"/>
                <c:pt idx="0">
                  <c:v>1200</c:v>
                </c:pt>
                <c:pt idx="1">
                  <c:v>2450</c:v>
                </c:pt>
                <c:pt idx="2">
                  <c:v>560</c:v>
                </c:pt>
                <c:pt idx="3">
                  <c:v>880</c:v>
                </c:pt>
                <c:pt idx="4">
                  <c:v>3300</c:v>
                </c:pt>
                <c:pt idx="5">
                  <c:v>750</c:v>
                </c:pt>
                <c:pt idx="6">
                  <c:v>1580</c:v>
                </c:pt>
                <c:pt idx="7">
                  <c:v>670</c:v>
                </c:pt>
                <c:pt idx="8">
                  <c:v>2200</c:v>
                </c:pt>
                <c:pt idx="9">
                  <c:v>1850</c:v>
                </c:pt>
                <c:pt idx="10">
                  <c:v>950</c:v>
                </c:pt>
                <c:pt idx="11">
                  <c:v>480</c:v>
                </c:pt>
                <c:pt idx="12">
                  <c:v>1050</c:v>
                </c:pt>
                <c:pt idx="13">
                  <c:v>2600</c:v>
                </c:pt>
                <c:pt idx="14">
                  <c:v>740</c:v>
                </c:pt>
              </c:numCache>
            </c:numRef>
          </c:val>
          <c:smooth val="0"/>
          <c:extLst>
            <c:ext xmlns:c16="http://schemas.microsoft.com/office/drawing/2014/chart" uri="{C3380CC4-5D6E-409C-BE32-E72D297353CC}">
              <c16:uniqueId val="{00000001-42D9-4428-9A65-ACF3074373DA}"/>
            </c:ext>
          </c:extLst>
        </c:ser>
        <c:dLbls>
          <c:dLblPos val="t"/>
          <c:showLegendKey val="0"/>
          <c:showVal val="1"/>
          <c:showCatName val="0"/>
          <c:showSerName val="0"/>
          <c:showPercent val="0"/>
          <c:showBubbleSize val="0"/>
        </c:dLbls>
        <c:smooth val="0"/>
        <c:axId val="832684336"/>
        <c:axId val="832682040"/>
      </c:lineChart>
      <c:catAx>
        <c:axId val="83268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32682040"/>
        <c:crosses val="autoZero"/>
        <c:auto val="1"/>
        <c:lblAlgn val="ctr"/>
        <c:lblOffset val="100"/>
        <c:noMultiLvlLbl val="0"/>
      </c:catAx>
      <c:valAx>
        <c:axId val="832682040"/>
        <c:scaling>
          <c:orientation val="minMax"/>
        </c:scaling>
        <c:delete val="1"/>
        <c:axPos val="l"/>
        <c:numFmt formatCode="General" sourceLinked="1"/>
        <c:majorTickMark val="none"/>
        <c:minorTickMark val="none"/>
        <c:tickLblPos val="nextTo"/>
        <c:crossAx val="83268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[DASHBOARD.xlsx]Pivot!Profit By Product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Pivot!$A$84:$A$90</c:f>
              <c:strCache>
                <c:ptCount val="6"/>
                <c:pt idx="0">
                  <c:v>Beauty</c:v>
                </c:pt>
                <c:pt idx="1">
                  <c:v>Clothing</c:v>
                </c:pt>
                <c:pt idx="2">
                  <c:v>Electronics</c:v>
                </c:pt>
                <c:pt idx="3">
                  <c:v>Furniture</c:v>
                </c:pt>
                <c:pt idx="4">
                  <c:v>Home Appliances</c:v>
                </c:pt>
                <c:pt idx="5">
                  <c:v>Office Supplies</c:v>
                </c:pt>
              </c:strCache>
            </c:strRef>
          </c:cat>
          <c:val>
            <c:numRef>
              <c:f>Pivot!$B$84:$B$90</c:f>
              <c:numCache>
                <c:formatCode>General</c:formatCode>
                <c:ptCount val="6"/>
                <c:pt idx="0">
                  <c:v>150</c:v>
                </c:pt>
                <c:pt idx="1">
                  <c:v>260</c:v>
                </c:pt>
                <c:pt idx="2">
                  <c:v>1260</c:v>
                </c:pt>
                <c:pt idx="3">
                  <c:v>790</c:v>
                </c:pt>
                <c:pt idx="4">
                  <c:v>100</c:v>
                </c:pt>
                <c:pt idx="5">
                  <c:v>230</c:v>
                </c:pt>
              </c:numCache>
            </c:numRef>
          </c:val>
          <c:extLst>
            <c:ext xmlns:c16="http://schemas.microsoft.com/office/drawing/2014/chart" uri="{C3380CC4-5D6E-409C-BE32-E72D297353CC}">
              <c16:uniqueId val="{00000000-1546-4A11-AE51-D958DC1020C3}"/>
            </c:ext>
          </c:extLst>
        </c:ser>
        <c:dLbls>
          <c:dLblPos val="outEnd"/>
          <c:showLegendKey val="0"/>
          <c:showVal val="1"/>
          <c:showCatName val="0"/>
          <c:showSerName val="0"/>
          <c:showPercent val="0"/>
          <c:showBubbleSize val="0"/>
        </c:dLbls>
        <c:gapWidth val="182"/>
        <c:axId val="810144760"/>
        <c:axId val="810148040"/>
      </c:barChart>
      <c:catAx>
        <c:axId val="810144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148040"/>
        <c:crosses val="autoZero"/>
        <c:auto val="1"/>
        <c:lblAlgn val="ctr"/>
        <c:lblOffset val="100"/>
        <c:noMultiLvlLbl val="0"/>
      </c:catAx>
      <c:valAx>
        <c:axId val="810148040"/>
        <c:scaling>
          <c:orientation val="minMax"/>
        </c:scaling>
        <c:delete val="1"/>
        <c:axPos val="b"/>
        <c:numFmt formatCode="General" sourceLinked="1"/>
        <c:majorTickMark val="none"/>
        <c:minorTickMark val="none"/>
        <c:tickLblPos val="nextTo"/>
        <c:crossAx val="810144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[DASHBOARD.xlsx]Pivot!Sales By Country</c:name>
    <c:fmtId val="3"/>
  </c:pivotSource>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86759813705923E-2"/>
          <c:y val="0.20599315068493154"/>
          <c:w val="0.92681304058549563"/>
          <c:h val="0.65588888289648728"/>
        </c:manualLayout>
      </c:layout>
      <c:barChart>
        <c:barDir val="col"/>
        <c:grouping val="clustered"/>
        <c:varyColors val="0"/>
        <c:ser>
          <c:idx val="0"/>
          <c:order val="0"/>
          <c:tx>
            <c:strRef>
              <c:f>Pivot!$B$30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Pivot!$A$31:$A$35</c:f>
              <c:strCache>
                <c:ptCount val="4"/>
                <c:pt idx="0">
                  <c:v>Egypt</c:v>
                </c:pt>
                <c:pt idx="1">
                  <c:v>Qatar</c:v>
                </c:pt>
                <c:pt idx="2">
                  <c:v>Saudi Arabia</c:v>
                </c:pt>
                <c:pt idx="3">
                  <c:v>UAE</c:v>
                </c:pt>
              </c:strCache>
            </c:strRef>
          </c:cat>
          <c:val>
            <c:numRef>
              <c:f>Pivot!$B$31:$B$35</c:f>
              <c:numCache>
                <c:formatCode>General</c:formatCode>
                <c:ptCount val="4"/>
                <c:pt idx="0">
                  <c:v>8720</c:v>
                </c:pt>
                <c:pt idx="1">
                  <c:v>4130</c:v>
                </c:pt>
                <c:pt idx="2">
                  <c:v>5790</c:v>
                </c:pt>
                <c:pt idx="3">
                  <c:v>2620</c:v>
                </c:pt>
              </c:numCache>
            </c:numRef>
          </c:val>
          <c:extLst>
            <c:ext xmlns:c16="http://schemas.microsoft.com/office/drawing/2014/chart" uri="{C3380CC4-5D6E-409C-BE32-E72D297353CC}">
              <c16:uniqueId val="{00000000-6CC9-4792-87A3-B66237F4E352}"/>
            </c:ext>
          </c:extLst>
        </c:ser>
        <c:dLbls>
          <c:dLblPos val="outEnd"/>
          <c:showLegendKey val="0"/>
          <c:showVal val="1"/>
          <c:showCatName val="0"/>
          <c:showSerName val="0"/>
          <c:showPercent val="0"/>
          <c:showBubbleSize val="0"/>
        </c:dLbls>
        <c:gapWidth val="219"/>
        <c:overlap val="-27"/>
        <c:axId val="471223968"/>
        <c:axId val="474396928"/>
      </c:barChart>
      <c:catAx>
        <c:axId val="471223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74396928"/>
        <c:crosses val="autoZero"/>
        <c:auto val="1"/>
        <c:lblAlgn val="ctr"/>
        <c:lblOffset val="100"/>
        <c:noMultiLvlLbl val="0"/>
      </c:catAx>
      <c:valAx>
        <c:axId val="474396928"/>
        <c:scaling>
          <c:orientation val="minMax"/>
        </c:scaling>
        <c:delete val="1"/>
        <c:axPos val="l"/>
        <c:numFmt formatCode="General" sourceLinked="1"/>
        <c:majorTickMark val="out"/>
        <c:minorTickMark val="none"/>
        <c:tickLblPos val="nextTo"/>
        <c:crossAx val="47122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[DASHBOARD.xlsx]Pivot!Sales By Date</c:name>
    <c:fmtId val="6"/>
  </c:pivotSource>
  <c:chart>
    <c:title>
      <c:tx>
        <c:rich>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r>
              <a:rPr lang="en-US"/>
              <a:t>Total sales By Date</a:t>
            </a:r>
          </a:p>
        </c:rich>
      </c:tx>
      <c:overlay val="0"/>
      <c:spPr>
        <a:noFill/>
        <a:ln>
          <a:noFill/>
        </a:ln>
        <a:effectLst/>
      </c:spPr>
      <c:txPr>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Pivot!$B$45</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Pivot!$A$46:$A$63</c:f>
              <c:multiLvlStrCache>
                <c:ptCount val="15"/>
                <c:lvl>
                  <c:pt idx="0">
                    <c:v>2-Nov</c:v>
                  </c:pt>
                  <c:pt idx="1">
                    <c:v>5-Nov</c:v>
                  </c:pt>
                  <c:pt idx="2">
                    <c:v>10-Nov</c:v>
                  </c:pt>
                  <c:pt idx="3">
                    <c:v>13-Nov</c:v>
                  </c:pt>
                  <c:pt idx="4">
                    <c:v>16-Nov</c:v>
                  </c:pt>
                  <c:pt idx="5">
                    <c:v>19-Nov</c:v>
                  </c:pt>
                  <c:pt idx="6">
                    <c:v>21-Nov</c:v>
                  </c:pt>
                  <c:pt idx="7">
                    <c:v>23-Nov</c:v>
                  </c:pt>
                  <c:pt idx="8">
                    <c:v>25-Nov</c:v>
                  </c:pt>
                  <c:pt idx="9">
                    <c:v>27-Nov</c:v>
                  </c:pt>
                  <c:pt idx="10">
                    <c:v>29-Nov</c:v>
                  </c:pt>
                  <c:pt idx="11">
                    <c:v>1-Dec</c:v>
                  </c:pt>
                  <c:pt idx="12">
                    <c:v>2-Dec</c:v>
                  </c:pt>
                  <c:pt idx="13">
                    <c:v>3-Dec</c:v>
                  </c:pt>
                  <c:pt idx="14">
                    <c:v>4-Dec</c:v>
                  </c:pt>
                </c:lvl>
                <c:lvl>
                  <c:pt idx="0">
                    <c:v>Nov</c:v>
                  </c:pt>
                  <c:pt idx="11">
                    <c:v>Dec</c:v>
                  </c:pt>
                </c:lvl>
              </c:multiLvlStrCache>
            </c:multiLvlStrRef>
          </c:cat>
          <c:val>
            <c:numRef>
              <c:f>Pivot!$B$46:$B$63</c:f>
              <c:numCache>
                <c:formatCode>General</c:formatCode>
                <c:ptCount val="15"/>
                <c:pt idx="0">
                  <c:v>1200</c:v>
                </c:pt>
                <c:pt idx="1">
                  <c:v>2450</c:v>
                </c:pt>
                <c:pt idx="2">
                  <c:v>560</c:v>
                </c:pt>
                <c:pt idx="3">
                  <c:v>880</c:v>
                </c:pt>
                <c:pt idx="4">
                  <c:v>3300</c:v>
                </c:pt>
                <c:pt idx="5">
                  <c:v>750</c:v>
                </c:pt>
                <c:pt idx="6">
                  <c:v>1580</c:v>
                </c:pt>
                <c:pt idx="7">
                  <c:v>670</c:v>
                </c:pt>
                <c:pt idx="8">
                  <c:v>2200</c:v>
                </c:pt>
                <c:pt idx="9">
                  <c:v>1850</c:v>
                </c:pt>
                <c:pt idx="10">
                  <c:v>950</c:v>
                </c:pt>
                <c:pt idx="11">
                  <c:v>480</c:v>
                </c:pt>
                <c:pt idx="12">
                  <c:v>1050</c:v>
                </c:pt>
                <c:pt idx="13">
                  <c:v>2600</c:v>
                </c:pt>
                <c:pt idx="14">
                  <c:v>740</c:v>
                </c:pt>
              </c:numCache>
            </c:numRef>
          </c:val>
          <c:smooth val="0"/>
          <c:extLst>
            <c:ext xmlns:c16="http://schemas.microsoft.com/office/drawing/2014/chart" uri="{C3380CC4-5D6E-409C-BE32-E72D297353CC}">
              <c16:uniqueId val="{00000001-B9FF-4928-846D-B05ED3BB9732}"/>
            </c:ext>
          </c:extLst>
        </c:ser>
        <c:dLbls>
          <c:dLblPos val="t"/>
          <c:showLegendKey val="0"/>
          <c:showVal val="1"/>
          <c:showCatName val="0"/>
          <c:showSerName val="0"/>
          <c:showPercent val="0"/>
          <c:showBubbleSize val="0"/>
        </c:dLbls>
        <c:smooth val="0"/>
        <c:axId val="832684336"/>
        <c:axId val="832682040"/>
      </c:lineChart>
      <c:catAx>
        <c:axId val="83268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832682040"/>
        <c:crosses val="autoZero"/>
        <c:auto val="1"/>
        <c:lblAlgn val="ctr"/>
        <c:lblOffset val="100"/>
        <c:noMultiLvlLbl val="0"/>
      </c:catAx>
      <c:valAx>
        <c:axId val="832682040"/>
        <c:scaling>
          <c:orientation val="minMax"/>
        </c:scaling>
        <c:delete val="1"/>
        <c:axPos val="l"/>
        <c:numFmt formatCode="General" sourceLinked="1"/>
        <c:majorTickMark val="none"/>
        <c:minorTickMark val="none"/>
        <c:tickLblPos val="nextTo"/>
        <c:crossAx val="83268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5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[DASHBOARD.xlsx]Pivot!Profit By Product Category</c:name>
    <c:fmtId val="3"/>
  </c:pivotSource>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en-US"/>
              <a:t>Total Profit By Product Category</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65352903229821"/>
          <c:y val="0.18249297785145277"/>
          <c:w val="0.70512480787220932"/>
          <c:h val="0.78140909090909094"/>
        </c:manualLayout>
      </c:layout>
      <c:barChart>
        <c:barDir val="bar"/>
        <c:grouping val="clustered"/>
        <c:varyColors val="0"/>
        <c:ser>
          <c:idx val="0"/>
          <c:order val="0"/>
          <c:tx>
            <c:strRef>
              <c:f>Pivot!$B$83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Pivot!$A$84:$A$90</c:f>
              <c:strCache>
                <c:ptCount val="6"/>
                <c:pt idx="0">
                  <c:v>Beauty</c:v>
                </c:pt>
                <c:pt idx="1">
                  <c:v>Clothing</c:v>
                </c:pt>
                <c:pt idx="2">
                  <c:v>Electronics</c:v>
                </c:pt>
                <c:pt idx="3">
                  <c:v>Furniture</c:v>
                </c:pt>
                <c:pt idx="4">
                  <c:v>Home Appliances</c:v>
                </c:pt>
                <c:pt idx="5">
                  <c:v>Office Supplies</c:v>
                </c:pt>
              </c:strCache>
            </c:strRef>
          </c:cat>
          <c:val>
            <c:numRef>
              <c:f>Pivot!$B$84:$B$90</c:f>
              <c:numCache>
                <c:formatCode>General</c:formatCode>
                <c:ptCount val="6"/>
                <c:pt idx="0">
                  <c:v>150</c:v>
                </c:pt>
                <c:pt idx="1">
                  <c:v>260</c:v>
                </c:pt>
                <c:pt idx="2">
                  <c:v>1260</c:v>
                </c:pt>
                <c:pt idx="3">
                  <c:v>790</c:v>
                </c:pt>
                <c:pt idx="4">
                  <c:v>100</c:v>
                </c:pt>
                <c:pt idx="5">
                  <c:v>230</c:v>
                </c:pt>
              </c:numCache>
            </c:numRef>
          </c:val>
          <c:extLst>
            <c:ext xmlns:c16="http://schemas.microsoft.com/office/drawing/2014/chart" uri="{C3380CC4-5D6E-409C-BE32-E72D297353CC}">
              <c16:uniqueId val="{00000000-3207-4DE9-9B7D-A640FC41AC53}"/>
            </c:ext>
          </c:extLst>
        </c:ser>
        <c:dLbls>
          <c:dLblPos val="outEnd"/>
          <c:showLegendKey val="0"/>
          <c:showVal val="1"/>
          <c:showCatName val="0"/>
          <c:showSerName val="0"/>
          <c:showPercent val="0"/>
          <c:showBubbleSize val="0"/>
        </c:dLbls>
        <c:gapWidth val="182"/>
        <c:axId val="810144760"/>
        <c:axId val="810148040"/>
      </c:barChart>
      <c:catAx>
        <c:axId val="810144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10148040"/>
        <c:crosses val="autoZero"/>
        <c:auto val="1"/>
        <c:lblAlgn val="ctr"/>
        <c:lblOffset val="100"/>
        <c:noMultiLvlLbl val="0"/>
      </c:catAx>
      <c:valAx>
        <c:axId val="810148040"/>
        <c:scaling>
          <c:orientation val="minMax"/>
        </c:scaling>
        <c:delete val="1"/>
        <c:axPos val="b"/>
        <c:numFmt formatCode="General" sourceLinked="1"/>
        <c:majorTickMark val="none"/>
        <c:minorTickMark val="none"/>
        <c:tickLblPos val="nextTo"/>
        <c:crossAx val="810144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EEDD3DD-D6F0-4306-A655-91F8FA222CFF}">
          <cx:tx>
            <cx:txData>
              <cx:f>_xlchart.v5.2</cx:f>
              <cx:v>Net_Sales</cx:v>
            </cx:txData>
          </cx:tx>
          <cx:dataLabels>
            <cx:visibility seriesName="0" categoryName="0" value="1"/>
          </cx:dataLabels>
          <cx:dataId val="0"/>
          <cx:layoutPr>
            <cx:regionLabelLayout val="showAll"/>
            <cx:geography viewedRegionType="dataOnly" cultureLanguage="en-US" cultureRegion="EG" attribution="Powered by Bing">
              <cx:geoCache provider="{E9337A44-BEBE-4D9F-B70C-5C5E7DAFC167}">
                <cx:binary>7HxZk91GruZfcfj5Us596ejuiCZ5atdmrdZLRllLcl8ySSbJXz+gZLmrWOfWaXnuxMzD6MGW6ixg
Akjgwweg/v5x/tvH6vOt+2muq8b/7eP8j5+zYej+9ssv/mP2ub71T+r8o2t9+2V48rGtf2m/fMk/
fv7lk7sNeWN/IQizXz5mt274PP/8z7/Dt9nP7U378XbI2+bl+Nktv372YzX4R147+tJPH9uxGbaP
W/imf/x8sEs3/PzT52bIh+X10n3+x8/33vHzT7/sv+eBzJ8qeKxh/ASfJeIJR4QIRJD+9ufnn6q2
sd9f1k+UZBhpItHXP+S76Ge3NXz85NN8fZbbT5/cZ+9/+uP/f37s3oP/+dPct8m3Myft9oiH869n
+uW+Tv/5990P4JS7n9xR+14lp17aa/3V7fgp/+lf7vb3/Pa7Bv4HlM+eYCKIwpLd0zpjTzhTWGP0
h9bxd5nftP6fPs1x5d//9M4G91/cm+LVv/7vm+LNvw7ftfE/YgFwa8Kk5sfcn9Mn8GMwBf7jVfVd
9DdDvGny4fOnr37x06HO3e3w2X9/x7GHO26Q49+yM8zxN+0NtOkG7v/uIjz4wf/Ru/Lydrh1j2nh
ByMUf0IpFVoRcdRE+AkhmlNE6bcIRb+L/maik09z3CZ/fGxnhD9+utf6y/8XrsUPuuIPGoE9+f/3
ZJfKH9yqO0nlz5SbwmU4fM3V//Gr33PV7qOPpfxvaODyE+RzAqnkTwSwfcUfnzsdsP78+OdbP/zj
Zy6eUIWoVJJQzBinkITC56+v4CeccgiaChFJGZX855+a1g3ZVziBhOZEcaklRE0MT+Pb8etL5Img
WGDFtJacK67/xEkv2mqxbfOn0v7490/NWL9o82bw//gZvqf79q7tMSXIlJRgLBAXEnEkITB3H29/
BSgGb8b/JXRd9xUpSArPMp2VTDeXuWlEfEc5R6ToI1IYZZpRLSlkAVDBXSmKhpx2biQpQdwlURvo
h2gc24tsQPkNljKK+0m4dB0y+rYKRfvicfGgx/0hGQWpWBKtKJE78dWa160RC0sDxL5DVKM26XBG
U+o6deKkm752+gRRjHMQQygiO1G0qjJCopmlVa/PWL2+DqLiSV20fbxKn8dT1IzxQPLfHj/hETOC
fjmTYET4C4XgfVfBbnIRr+oITpgVJq6Njs46Y6ZviPAbIDxiRnHkcFyBFTFBggu9O1xJqFiV4TxF
UZbfLHPVfIhAbozzmt2gshw/Pn6qr36x0ybcF6QVF4pJpnbeqbu+xWOQNNXDNCeYD/VlVHBsk9WQ
1qVDFZkxEWUtz0bA5l/CWn/IUducdQ3u3px4lk2FD5+FMYIFV4zvncjni5Q4syytp6mLiZDpMufP
TS1SayaT0HVdktb4pxye+VJRHI95Kz7YItg0QmOfPP44R1waNPPvp4F64q7BVe1RrllEUx6ROl25
v0XGoivUepSdcOkjvsUpwxppxjSB63tf1MDKIdjZbbfH68u5L19VnSfXf+E8oBWGMYREIeR9IZVc
8Ng0BCwNN/VqQynJLIvsolxNd8KLj6rujqidUzEzqFkUjKZIZlliZaZjOXZPB+vLw+OHOqo5TUFt
EF61YFtYvBNcKbIr8xCR0m727tBK1F8HOqofdgWlIIkwiGsKYS62896RUhbTwDqp2pQbii6bel0u
p7KqL804+r8gioHzI00l05huB74jKgMzmYbJLq1DPbytCxtdrKomb6037umP6k5BamMMMhNVku9j
zTC2Re806tIlyO48a90Ui8rNJyy0udX9Sw2moZqQr6kBcsP9Ay1Cz4i2uEshe+PPwtPixq9CJ0h4
dB6IwL8XZDIXjx/toQPeF7pFmjtaHGfZ19KELhUGq7cq6qdEFEgOMa60OOHsD11wMxXmDNyQk6+o
5q6stu9nxp3wYDFTJcOs+6ueDebm8RM9TAyaav7V+zSkBYzun4hiVdVm4j5tcIQvqO/kBYI8EtNQ
gxpxxJ89Lu+I2TgmWigiJSd67xy8mmVGHR7T1fekjZu1DYmRc3c962a56gsxHrSx7YlAeMRuAiIu
KFEqTAnZBQ7ZZpbqOhvTUlOeiMbVVxXAuVQV2J044BGFiq1MAyEQeInaKTTL+mm28wQHROP0vOVu
fIXWXKVtN/dnLNNqPnG2I6kWsiwHpAm4BUg4vjuct6WfSZ+7tEQFjYkfmhaSXM/7uApUxibvSRGL
1vHbTrKyTtwwDi81Dv3LXPdqOhFoNmm7ewm4d4NqSlIBtMJ9h8qHppR1NbiUV9SoeB4q3BzwMJRL
nDW2/9UXSy3jZRZ4TYoCF+yEOo44GMRliNlCb0CO7+LC1HiCQwbyRz2YM9pEXVoFP6SVx7djobPL
fgzDiTM/cC8gDwFCkC3uISIA198LC0EFvA6DH1OCm+Lgp7yJy1ZFydI2nx+/Pg+NDaKUYgLQP4HQ
gHeiuoFaJXw9pqHBrkprScy5QkZfOjFQlIY+sPOlNcVhXTyTCTGZvFSBjVeyCn2ePv40R85NEZhZ
K6zg9FupczdEhaZah5FEPh1qx2MZyf5XXuHsdc/b4kRSeXCtBKIYCh4onDY3J7vIuzZqMRGvh7RD
bXZweSGTLrLzG5OZ+cwuo3r/+NEeRF+QRyCrMCU0IGa5u8YimgrpDEQMl2n9sZxXfKYHF10+LuWr
hu7dFhBDORgUYSg9yN6cxWRMvvIAx+pKc429LvO4LdsqHaKc4KuFOXco59HHxUyzs6W3xUGWc34V
OjW8qKPS9vE8WnazqiE/PP5sxzTAGUBHIQmUsmqncUGqKRINhYuMKLqaKJ3P1rbKTqDHzV93CoDA
vEEgECEw2lzsTkbNRxPZiq8+Xcq8y5JsWsubfC2tSbt+JOc0QsVTDyE1Ja2JLniudXTCifF2kAeP
QKUEO2xhW+8ihu1xiVsz+dRmJTlgKUzam6ZNQkv49Vj1Q1xXmbexVbN8Az6qX/gw1gdV+jIlq8MX
HeLFibR8VC0cQ/iUG3bfRxRLWiLLZoSbZdq8O7AOQa2wBDTIBJJZeUFbP18Y490ZaQZ9WDocmRNB
7UEgFYgJSNVQlwpAjhurctcyrlI8muXmmgXun3egjViUS3k5KqS/rJGawUdXfOKa44dSKeeIA9NA
Kd5K8ftSxYjmyLZVSI2k75h71rTDU2WitIlYLGiUYCYuqbDJnC3XxXo2NeUllZ8mr1MfspjbIant
+vzxm3DkmYQC4AehTkkJPND9Z8o0njPkxJJyR8ebMnjyzHe4f7EygBBRsbrncpHd748LfRjwwCU1
w4AlMEVyD1mWvgmjEi1KGy+L6+VL6Q9s7uoDpLb6R1OmgAhOOaaQNwWDYHf/fHVgzajWck15kbuX
tC7GA22a5lVZOX5hqlzdrJSRq8fP99DDN6HAkgHlAfmDbue/c/Exy0zTK1BqrkCLGWmKK7t6f1Et
HW/iulH5hUEM0bjS4/JsIN16IvY+TF4glwFggsRCgaXYwSbbCV4MZb6myI0myaBSvjay9b8FV5ET
oh6GUgqIUAgCpgQN70m0rug2PLYu6Vxx86luTP62Gelvjyv04XkY9HGQgOvHKVV6Z8UujNZaBUIC
Gt2rHvPuELUZ/Vg6d4pXeOibIAqqAIQY0G6A8u7bLiyZm3FWLCkeXXUpPOtwHOEcYravaJLli1Y/
nIy2DIkQFluugIbsTiKcqx3RsKRGYXRBXR89JWHiJ0LeQzttUr6WW0wiANU7Kci6kXYVXPSonFNc
8D5Zi7o8e9xQR6UAPtYCAyVF8M7x1nHKw5z7Ja0wYJfaF+J6LOx8wueO2AhD9kAQQzZSRu7uVzmi
Cdg1BUCRzOSybXtxWUem/5WxLEsxwvSE7o64H1bARwPDyDZqfAeY5nIs6pyDvFrl0RUtokjHjlWN
jOt5PpUejx1OMWgag5UAbqudr/tqANbZR2MamSFLiwydF8h+Qah4Ad7TnAiPR+wFdRVUEluk2nLT
fa/AVjnRL2pIe9drqJkGlgxZP1487hVH9LfdJYwEYdBrQDv9teMEFGXEx7Rg9nNtcgZgh/42QEg6
/yuCoAPxtb2u904ejc5R3NExnca++bUPjU0C0F03Zh1/PCKBN0DncsvjAni7+4qLVD3lyqAxRRp3
L2jL6SGSUfdq7mZ6wkZkU899ELdx2/+WRe7LWllGrJJQdvedtDeT6yqXULnmc5I32Lykg5/EWR1h
7JNJu7UBGNXNw3nfSAB+dPGtTqShtY8H3k5rsgQyDEmDJzXFc+Pm5nWImu6z4xMh8VLWi0zrtS1l
+rhtvtIt+2MQAWAL/A16OmivMpcV2RS1U8oXiw5ZRv3TcR6G9wsMyBy4rvVBGhMVcc3W6Ib43Fws
knV/wRU3ZTKqFLBncod3xgUK2oW4KW0Z7s8tAZzbITGeA33ET4g6cpE3nAdIR22Rne+8fhm6lguI
5Glf9eXThlJmksVG3Y0jdYi7jPbiRJw6KhFaChxKVgQOs3MU3kjBpnKYUga0yWVOxXjhtGVVbEeD
n9Kyy148btMj4YMBUIH+DoAk6Nftw8fqFRh8CWmm2zZVemljS0RxwnOOHItBxgKTfQUBenv9Dpwa
KmaWKbCQ9kWH0iJU41VfFu5iRbl7Hvl1PCHvmKcyDIQH0K9QEvE9pqkLUgjSDnNqlzDFdunHs9WS
5mwqivb10lfRbU1DEaUKWogvc6f172oEEPQX7j1gOODoIRMA7cQ37d85t7WtqKhd5hSJAR9cWTaX
EXDqNqEsG29mVmXPaaOm64VkJGlFK+KhmFESopUBaTt2LypSI2AgFxavqq3PsuCzZJlsm1YGrmLc
9NCnWhUZT6TnI+F+60chqCqQwvxrPLvz3AvUL6hso5B2aslR3IhovtB1wC+aJoSPP+6B4PFwpTUF
uKt2Lq+DjRCqa9BR5swha7s+7mduz/6CFLjMCpp9SLB9mgyRVivpmhmY5M5cVL5orzo9Zaf8bkvt
uwgJ4VFoAIHQQ5d6HzGaLCCAICHFtRWfQtX7ManXTB9IaYS+RLXVY0KA2H2zmLppEoi26NnkUXWp
qfiCgqwvOCCSs0WW9gVnUzvFC7AcFzNG09vHNXL0UQHuA0ZhhPJ9iTPnnM1VC3oHkmO9XLq8vqms
KxK7GnMeKuLjEXfs98eFHnUsCY1XBFykwNtkwt0L0WvCp1a3c1oP5Ts3KpIg1IfY6rU+PC5pu1oP
LHFH0i7keGA4C9SCpGZqXNosRfU0W6twggk5fh4GhTAXVIl9RhwHYQ1QcXPaKmVjZ0dUx/mwws0k
uihPhJOjR1IK7iX4L7RMd85VlGbsowBBrQwlPlta1MXOo+7EkY5J2XhTKeA6Avm3Q6+9nCFhcD+n
LITxgJdsjMtuXk4kumOKuytll3dKjHyPaQeOAHXcq7HlUzrM7fKWdSYsJ/R2hJZmjG4ULTidBt3t
FBcwW1BhhwBuMIbUMjUVcdT4cDXZWr0LTuOrmSr3fu5Q9YaUPLoxw5hfs3pR4lSE2DDS3i+hcwb+
rxB0IcXOLycBMD5iPqQLwRVE+jk/1Ch7N2PpzjPRfJlonjZjbq/ywa+xmHN7tqj8hPaP2hjIIg3Y
BqZb5c7GxWgyNK9zSJ3uuws+4SFue1+fyCJ4C937s0JfC4sNrAErvtO77JhqZQsq987K67W25csS
sOszyLVepcSI4Sr3Vh6KpWx+j9RQJwZL9Z4ApXe7TEAJnXCEY05393l2+JV1pQxsDiFVRq3x6EAB
0M/oDi0Rf+WuMg1JACh6AkMOOw2XJcASaIVAIljoEAfDlrTuSnsiyG23ZK9gGPXaOEmoNrmm8Pqd
PO3GoCYespAWgNnHOF/rksVh6z29ZKism3TSVXeDFg9MFTVFW/4FP4I+DwEWGAAkpJL78qFna+Vq
eUjbTNdX/VS4pCtr9+vjofxIHwJuCoxZAZaCP2zfySF9Vo6DAtLD0SW7rQi3eSrXMXq9TJpf43b2
dTIXk38GE/rZR17qOYvtBMMxl+uAo3eBeAadCBNBYzevs7o6oYVjmRR0uk0USCDF6U4LfdmjuZxQ
ADID0YvaoiVGYZAvVqXqC9HyNmas5q8fV8oWJ/am33Al2xghrPadRGvHnJQ1xLSlrfJDnvkXY9QW
ySj4b3iITmCFY/ECRt1hDAwQFLSDdkGLtKOY0QLXBRrG5Ir2aohRwce/kHlgXlFRIPUlTLlt1/eO
N0+45LLOQY90Fgc7NPWLdZjcq8f1duzKSEG23hm022F2/L6QnC0VQGzoD1SS+rdm0PhZrVZ/1URu
+GAipg+FoT7WKOATxztmMQlTDFpIDX3SPS8JDbqpaGFGKKU2ssBDuuyq7yKcHWpR4iyuUV2+efys
R80mBbCuwGPDsMYu3vUtGSd4ojkNQeuU05Kl0ZQXZ49LORZV4UQwSceB7gIadKfRzBEVcjynxtT4
GfWzvoJWzHCJhnI+cdOOGU/B3BMMtgJFBAOm90VVjomI43JJlaXhWakJe2Pk0FzMzkaHGsx+aaM8
vG+IoX9BlUC5oo0WhbTJdjegQ9JDhzQCvELn/G3edjSp64ad6OUcMxhwGsBHQSUkofi8f761KkQ+
VRQCnc/atNahpnEgrf4rcVtJmP6FvQowm96e485N6yAJN6KDunTVMz7ooJdzsXR9+rhjHIuL0LQE
IAkTPKC0nc56Cx7p2DynnJnwdMxNlR3CiIF5RdqJ1C11lBpUhRMzLkeLfw3pCERL6NXtvaRrBjsg
DNgyjAyFmDe9fGGGxb+B4CguzDRPlx5GQM/XtpieB501L6q1//D42Y9iTg0QBXgVYHKAYLmvYrZi
3+IZbkUVDDmrsJ7OJ4G628Kb/HxZG/YJkZX+BnWCT+bKD3lsi4G/sFWxnkA9x5zq7pPsIl7RCNGV
2QqAXnTjNW4yclZo159olR+RAjPjkBuAMwBqfw8FeDcwm/MW4PU6lVk8WbpW8Vx1+IR1j8gBzAro
Gfh8QAX7xm9XY9LVfsApz3x9MxftdO6gu3NCZ0dcF5q8BBpjkF2hNbZLRQ1qesdphlOmIgdBUywf
67pszh3M50AT0PIsJjDvcP6402jwiV1OB3dlQMfB1hmHfu59nylI1jc2q3Aa+oy8HEuZnWmC56Qk
DUlGs7irtZj7BJlsSday69CJUx+J5DAmA6wjDLVvI0O7U7vMZWVmLU41HtGLGgqhg2zc8kqG6Mvj
Jz0qCUgxgIzQAQKHuX9SpfFqK7XCSJBXy3XPxv6wln30CtHhVM444jAwKaMgNUESVDC1eF9UHoou
mFzhdIHxsniWIiSkzUz6+IGOZCYFlRsMWAjgUoD/uS9FOW6c4wyntpcwyaSFz97ZQo1dapqoLIGV
H7JnGeGendmmKZsTifEYRL4nf3OtOxFdlD4Tg85JalzvvqB6HJ9PjAyHNddmStqaNed0DPWBRdLD
yoCa8bk2gr0leXStzHBoc9Unlln/8XG9HNW+RtvMHYBfKITuP1doprVogaRNs7buYbBuqVK5CHLi
+N/GYO5fHcDdMIkCdQi0zKEUui8HyTHoyNsRRjFWGS7ksvbvV0pihtff6NIkZaVcec4nBf2xZu6z
163s2jL1ONMwBTya5pmNoKGSDK2h0YVb8cBfj7mL7HOIRs3TeVxtgIpxYiKeeqvQVV/rbIgXNStx
aSkpurPcOWlTYW3enbVlrz+YuctdXDvT8niIFn5dmmxeLtZ1XKCoHzyxN3WWLTB6qCEXx6FZohze
Hi3leW1gogo0ZWGtJXczDJCgAsrpFBPrYcbFYxHPTnl9wKHK1xg3rFIHvRh7s/BufRPatQBWrVlB
/qx6XcRqYsEeVHBmuCoDrDAnOaxYNNDEKCMD39IOVUyCBL4MjWWw8TKamqS9LtvfnFtHctFwmjdn
HgOtlmRdweXBTTBsE3viO3Ve4aXMoCPTblsoWaDifAqFPC9kpKsr5Ua/XJQwcNnD5CG0q6499ZVN
YX7H2mRinXhlZlhvSdk8hChulc5D0gITXiatz3n5htp85m9K5deXhIfFATc+rzSGuivqz7IxB8YI
YKGc4zwn+TsCZAMsA9Gpf9r2Ufeec09tTKS76hYY+48Dzrs2qUJGXzVAXZQw37700VU0AV6KtR/X
i44ZjuPCLnqJoQ2uZMItLabrioxWxvnk/a+e52xIsSqBrrYDNJTPq1GURVIbI28KIZ2OmVnJfO7z
Gb0jti6WeOAlfZbbJStinUGsvwTip6CJHIgniZizqr/pYaWInNUw1l+nho79taYG5uvKrFqzVI+y
RQk2k+wvJoW68TmRTfTWdNP03i3lWCYyQNfgWo2N+H0Bj70VqgnPHW66a1WvNbSfUSAxVDpInJVT
EV4jVus2LpgLV7JVsOEBMzZ4SLBth0HDba3nHFzcqmdo8Dq6CLm282+jUgOPi4XQNQ7DMEXw36ou
0mpC9MvcsCiLI0SL8yly0Zc2B8olhtWaIpyFvgGPRU21/ArBstKHtVnrd7xuqihuLJAlCRCC2Yei
6NQlzfP6c+td/iLgeSqeGyvZuzLviwFGbhgmcciyDKWKUePAY2qY1K31QPskWF/5y1ou3sUVX/J3
zYRcCZMSwbQvZrJGZapG6AAlq87dJy6zto3Lqmm62Mhu+jDkWegu+kHV5UEWlr/LoipM57AmbkgC
bST6vMxmzaHROWdnGczTRIeh0quPM7bApZyauh4PrNQdOkgnK5uQaNXPS1tFKo4MPEjOJbdxBUar
4kgv+JODUudZo+n0u3UoihISeJ7HXJXsXQ7T/DZWslsDuECRl+kMMyjuALNSWF3qqBxQmmsFgK7R
kaCJ92v+gsBdtklvYSQlmQysGiTKzE0U46JqLjXLGYvzrqHQjnJjB5y1IEMWV3Ovp5jYovIvx4hA
A3nO8pGlPSqbLg2KT8VTQaLAk3x1WsQqytwIzz85G/eeZi6F0qV5TwLyOh6nui3OF+3gdhKUqRrG
vidTXrggRhf3JB+rFEh52CLJGzPAYJemzct5VvxVlIWenPXV6mpocouA4zUr85DWo++b2MAM7gIB
BxiKGKb0o5eYt2U4n4Vb7NYKE+tVPfkGF2ndBw0zvyP3si7jaI4M9r/DmFwzRy9RFFaxxgOieVS9
aedSiRzObwi01v6r6WHPTsGUVDr5vHkG3Jd+xSEUvebERUCn9dofRC6qq6KvitjikENgifrE9ZK8
WTJcwMvauzfSNB14VNVGzQmM+GAgVMGsB3SWYFsACHoYoNnViBaGG6dm1iwthH0F6qphuMkscelQ
lbaTAWDauD6lpvwEWalMxiKSSQsDubFmEGy60b/5muH/WFF/8S3Jflv9/Nh2i8tt9sdvyfjzn/98
+v1Xb3zdbP/3z7ffs/Hvfz3vPjevBvf58/D0ttu/c5P351v/vf++bcj+uci727j99hs7/pt13Edf
/M92db+ytv/9ru69zfVt6/Xr+/9YziVPoCcES/GwsQkgFxYo/1zORU8kdFVhQJ5sbRx4x93l3G1S
HcZ8YUgOkMw2Xvp9OZc9AWQDm4oaZp8EbC+o/63lXCjGQTIUx3TbfyTkPliSrI4CtEE98PIde4pl
XVzliLz8QeQHpDSsV0EDE2YktsGr+0LGdikjxWFCO1QRv+IOpjP6fjGXj0vZOIR7uA+kCASLajDs
h7ea6b6UQvmohfobdjZ7g65nkb/OuLNn+RRVZy2CpaHHxW1f90AczDCC6qDUhTWh++LMbCOg92aX
mqG8HSXMnlinu3RVC8wYZjwkBV7yH51F3Y6ooMcILC+HrsGutGgHg5aOIpBZTdVN0Vt9OZRuOZCB
Tuk6TS2AH3rBGVsuC+5/uFG39RZANEyIMmgU78eLpwWXpq5Auu5hXSeEqU6nDvkkU4M9cdAHRSEH
QghkiM3DN++5r9zcmrGaPAzp2X6BX0GDbHcG8dYlfFiWE+Xat8GW+5YE7gsmyMEFgZ0BivS+sLpt
jPe5atKqm1lI+nasr3Ii7ascQxvuEJnGfVDIBh/nPcV5sqgwXlZ8rD9UvaHnE89CERdVwZ/2y2Te
EqGAsQMUln9RlaIwltXI97DT2qasm9GZISopCGxX5Y6iIu5aU2fJ2nn/flkr+45NZvoAVHD+2ggJ
K6q8XEecGDNAgieVh7Ejb6B4PGTQvWrPlHVrUmOGbjLFc5OI1Qw3sIcnmhgKaQbwuIjWt7C1hz+a
1Y3sMOm88vBTMs/xlBH9ZW5zHSWi90uR9r23A2w/CXMtCwyLK5NWT3VB7a0ZnX4LZYr5Ils7VclY
dc2nMHY9vgyF5zgdAPe9yQGbVqnCDaRRN65vYGNEvV74wt5krqVV3Bgxw0yiJKuAhMmi3wqFl49k
mXCe1jwU+KKFoe5nuQjREteFxFAsD1nVHKyIoJ7jaso4fAmfh5jOwA40MIc9pHwQcoqZWP0Yownl
tx4aQig1IkN9zIOIrketamj8d8PysRON/YwgTz+dyqIfz5Hrs/ewFpG/RiH3EsAEF6/XgYYxHQtZ
fVJ5oBl8uUZPYUiof0aKZT0MEtk6trluknXNsudu0Oiq7ggbYxZFURU7p+Ymhm7dVCZBrJGIIzqE
swlKqQqWrTBfk8kt6cihwOzrSjzD1PsZYGuhP+kagFeOUN6dI5IVVdxWrn8aZWsGvGC1NiPUXGvx
1oydKA5wJqMPoWhgdNoXTX4L6zlQl9YwNnNd0sGZM7xMDiVL083PAXpJf5gwqw8ot2S9yARrYbW8
l2nULmN5MYR5/bTURQOzhMs6+GTE1ZLFAL/mL5Ny7faLE5ZbX7vpXYTcCluRzcpJDDHZ98mMO/Fe
8Z4s8eTaaUwKOZF3sisqwPK4qs/ydhCXU+fUuc3y6fdRDfRXhzqf5u06fYG1tCK1AXtAmv+LvS/p
kVtX1vwrjd7rQhI1bhp4GnKqrKy5yvZGKJdtUiJFURNF6df3J9/zGq4sPyf8etOLPrg4m+tjpigq
GBHfEEzad+7o9PIC7PJTfPX+S4+h9sM1DJwUSuborDWgxqUhgzdDxNNC1If8FHTZ7RQ/Seom8Why
8OyT3sd2jEEyygfVvk3kqhd12sYnPz6a+maq2mwmUHo8DnMuXGtjerH9/1nUMK9Z0Sq5/6+TqHcG
Zf/5x/+dQ5HgXxEaaWgRutDaIEoj0/23wYnr/QsmJoDv4PsBTtfPm+IfgxPi/Gu9PJDZAHOAI9F6
X/1nDuXALApwKZh4KyUQl8zf5FDr/fDLqYJWF2ABMEQPyRhBQn6WCUQWvujOg9ZnQjUSGeC+jTio
liVVqxJP9Ju2fPxlY/7Js/9gqfLvFWO0ZrEqRCHBGfilahaxbgF5kIfRFbEbNIku8UJ+tuM+PFUc
AOgCzSiGrcn7WzFwgbgWcURTlVX7ZUyFmwU/ikO5K5Mbk3zHkyZj8NYlB5XGFzK5c9hmfT7glMAj
8faQNP4sfH5pYc7CAS1aFjQtujfW34iCJCxQVypQCaVWBqJc7TZpPV9oRX9cN1olPoAtoAcO1hT7
/TOX4zgzDpeLVA4k40WztTrn1NDoKiC5T2huKnXnCn8bBRcwovWIvNtsKGUDhwDyxqW+itneLzxE
VkPn2UWXy2uKxOgOt0eocqH1Y0PIlIVOcUlD8uHUYskY2TK2GNIOEFPeL1lqP6rpiCV7NX/tjdGH
sEJpyEbrVtvhUxd78X1fX2Su/WZZMPtg4YYMFnnsOSJnG92GTVmxtFlo5aAD534Fma3PC8P3Ewfg
Hx+8KbTe/vKDWUlyKKQA4UDA+eHFtuhVtnymVSpAuCK41wbxMouoNps/r3NWg6xMAhwgQDYgscLu
6BxhCKgIOvQnqrToRQKXlo1xedLY8mpCX+LPS52lyFgK6Br0YACHQTiE4Pj9+wuoRu8bivlUwtah
XE7GRbD5S8Dwn0ViVFQRKIAIA+8XUYsQjWOhz1t25aYcQmSfk9H5f+NJUBnC2wcgG5gz7xepTV11
oyZV2rGm2FjaqMQs6pVU9iVS7u/2DJSBVQG+0rHOsSZaxZWLbxzHgNkp4jZ6/HCsiKwLD3SGdPzc
NVT7uKpAp8UNdNaXCZsKej4FCg512WPoQ+Qm1IUlzlGef6+Br8jFpQhk+XzTULWPChLUKtW906W8
IO6tKNpmh9zrYbHrjMop5hksb3RGrBgdt3juUleO9j0EE46bmsEfclPMzYUf9ptnx0eG7QUCjErn
fItNqfoFRF6e8kWGNBnqYtrUTVTc//WZWQnRHgQ7ALs+sG0hkCG0p1GVLj76bhTZL9JuiNAvfGQf
b0EUhcgTcL3HEThs5zftYCtn6MuBp8RMX7s4hIYfLUA7FnCoWkFR126+x2ETfPZrSNxZEwBmcdux
P5S+zY8tbcudVxl/33oqHcOR/BhG0iWTAKQD3w3725935eM1ghIW/Eq0BAn4KeceXUEIfQi6SdiV
+UGYb2FxEql7N19iwJw3HtfDB9bUWqGDhIka/Sz2OPGiY24IT30dHEal14Z+bU4R/BysVHa9Rhu0
B9k0mV0zBSjWut3I3TEHiEa3s8WbILdFeyH2frxZkBqCybImfWjHnN8sNRyj7HnscYeCUxWhEXxr
Yv3Kh93o74d6snaydaz0zxv+m4ACqHc1HYDkE9t+thGBVUvcKg5PWy/MmykSCSvloWiGC/2Q868K
hELc0QiRax8NKrSziFI5luuMNV6sgujoJmakyEZwGS+scn57na+y/opf0q6FA/GsJcO327RuxggN
U9EswZWrSZuLuhsvvLHz3Ttfb/3/f1mP2XFJtcZT+d2151wt7bPzt3Hi5xLwG0WbDtn+B38s6NJH
VOdYIhbHQC4JRJ9J410SpjtrsvRr/oZlwNVYJdPgMMDH8CyZcmFMxytp44Pw6XTsiRVsgeuYzzpk
+mTbXf/a9729KReQT2tz2zuIWkszAiz683k8DwA/fwd4d9CpAa/88LhGzI4EjYKntGdbLf0uiaAU
SJjt54Nr67yKmwtn5mdA//DoSEQQJeEp85G/4U/EtyUaHV44mq2n6uKuHtH9KAJ0fJZSVw9FH/uw
zShQ2aNNCXMEd2M4u+UOValdnRbZ7kh4B0Va+4jW7QWS0G/OGLhB0Pog7q2k/7Mz5i/eqlGd8POK
qX+zIsI3zdpJdIvCXPKgvLTW+n39cp7bCNJRt0JYnFt0CW3yLZjjjSmbC4+0BpUPO/7LI53lS3ZQ
g+e9IHOfaBwdqVQHjtbfFHg3c1zerwKyZGjG17CDPcufj9dvwhAoj2vljFwNufvZykvJB98igC79
wBpBOwj4FRifl4Ldx68J14oLeAPF0PqY55JwXI72QEsXaU3N0Cet692Msi/xAXn7Kth0FX1qJrqL
C3nQI9uKmF0ITB8KQaTuMFoHNRe2JmB1rMjMr2+SWnVnlsjrUkPpt3DwToKIB7uxy2Ss2Y3TDY82
rEb7EjZW3SUc48MpOlv77MQOjY5t3usu7cjbBGjYBRXERJdcRM8VGXCPfP+IZ4fVgVFKO6GNkLbT
nIfhuAut8nVAiyUJXHUIappzPe9bMcK3BJ4mWkrI8ftLfp8fAtb6KyA8AWsdbG//vMDgYQuXyR6v
euDVbcv0AVyU3HKqByKKvGigc/7zCf7demscAHCDWAn13/sXG4XFzIkBlYZB54GQsTVGZgHOVOBv
DPCTP6/2200GqIanAw0SHMIzQjSzNBgiFO8SKPSOqfLAfH3Xx+VBeu2dU8XXKuhU4izhUZWFm6g5
gmq7uxSjzzOj9VWD0GHj31D6oNn//qE5iBfwEnNgEsGkNz6ij48YtVh9eGNxgATPEnww9SA80rQb
I7Ty7/+8DR/CBgphqMcQMNDOwaaeZS+yN9YCdkiLmmA6YpdpogP2lx2UtdhevW/AmVjpkuftjKaC
Aa9rbKhOjPjs+2NKIZCOhvg+sJtPQ3EJC/vtI/2ynPt+SyfOyMIoRC6VVY4JCIsHWOk9/Hnb1i/w
XZw/e6SzbTPR6sLnLN16s/pJMAE/lWGuoUxYY0L658Xgr/shiUFhDEcMxFv0oZDQnH0bhW9FTNTM
AhGktVPTQ5aW+aNjdT/GJZjhwQvmipX1gcWLHJ51zUOD0hN8tgA4RqLgojovCeS0fpBGUaVuIoB4
7IXRyBensnJkCNLVKrpOhtlfHtwlNCcB40ZYBtjhFVnshX/p+7ZgWTB4zc3UoJoAPaVoAEBUFXAQ
B3jgjndtdxuFcw2CQVS6N4WtO/60ckgdhI1xOU4mvg+rKsr70Aqf4Itd300um6Jj6fZTtJvBDfzs
xLCN3/ZT39x1dkNSmC0ERRIs2jyDFaWRkgDFvfEgRd4bcDxzuwXwVeJi/UQFVddu44SnKvRVAtqN
2nmc/wCxbPH2PTcxzAC048wpZQttM9MELB06KLDyWVAabGcXJSL8Giy33RYSMOrcxfxV8KjblDBO
PEj0Rqdc+zZD87Nn+pOtYndI+kIeQeChEdhAaukOeijJLR+qjQBl52ryi+IAdzC9EdzrUX92wYtt
8aXb+bNjH21wAu9iU5NsrpaHgDfDqYWV935aWO9mvIs2/cg2RVvJYu/0cZjC+Rj0/EmyYWc1RTN9
7X0x1ykMU4FhjSC71aQMbzo9uLdDwdWY135NNiPeKDRu1jI+0EK6T/5g+gktqVL5GRg9cb3XkVyu
HA6yMgdZBRtX50NjjWVida1JCHyFb6d6PkxeNaQAupI2ststtHLhp6AR/Y/OHkgOOOva6ambggqV
MXtub2u4TSU4mSvH3PyIghoZPuMg+9hMWkXS1lvlzwfXBp9wEV7wTdWg3cFbkya8AlwJlUiQh0uo
+tT1KDm1tctvndCy7/C+hhtTlrZzHbfLV99elsTGS6NJSQX22ZMBCGPIqEksfxANYaxdRbdQG8Ol
2RpSWrE6mRrPTWVrg7HWL19DUgafK0Hk0eknlRdy/YElV3vdBGpfNuHipAG19q5yfyjidX7KJ9Ym
NS9zRU0yhnFiCf5UGSqSQDX7SAMoZaN3X7Dv8dxHMrHpbH0yfnMzN3jHCEwOMC7yuJAOPnHLrA6h
qnWKP2TtQIybDrBYsRNrKaIrhT/qF2p0b8q4n1GdNGCWj6zJJZhmm8rRN/Dfc9M+mJ3dVKO2F9MV
uGL5IuxHQVoN678KaIFP17aX1kkLdcwX2SN56f16TE3RvoG5UOVtKdQ1HDqWA1InfiPwhX2bzGgv
KQmYdyi6L9C+XKEx50xpPEgafwrNDNlkfSOG5an2P6lilY5MTw2Oh7xzI2YasFlHuZGiHHesj2Gs
Y3HJHyYLgE1iO637MNo/vMUVmQ1KQcDiLBLs8+K6r2D6Io917A6mkL2d4dUPjxytrau+6sVTX3hl
5sDrNUePnPHDgNDW6pIlI+hsoxW4b31pBZuyhWl1TREVcmrqxObONcg0ORUgBbMJhh2x/z3UJYBE
/yAZ3YBzmy9Djw+IezmLAlPnWvgDTSAD0SlxmjqNhuYZODv8e2HMlDgzjHunqsvLGvLGWECnukzL
FgZJOy/qc7nEe1Z7iWfHX/zR3UDgvtoypjCl32hPproaX0zIwRsusRzYmY4Yvo01xXCf2d6BQJzD
3TkPzLhT464iJgGZLpkglwFVL8NFkOimmYadVgF5acHBzKTsPyGOgdoubH2wZ3pAsduhylx+BNGQ
eiUIb0qEz4My+gQGLLw34GGWtAs3arPaTX117GlCEuDeWDgXB6/zlmubk6DdlBUBLxUuWvFG07F/
66v2LaL+3WILsYvAc6uToahh8weH4VxbsMXNAxk9EIo33fseu6nGxWqSaFqWzdjBRsrwYcH7hltW
0syufQuptUg9CAC+LktY7PVcfAOHGkY1VAfPtqRitxB27cniODDrWfreJ+hKUhWBtEuj6DYg0uRh
T3YUtPJbn+v2vrVCksSxQXiV1lSmtDUtzhMdY2fvtw4sfLvZeHd1jAahYwog9SxuvWQOcT8soniB
Da6bFtFYibyW7WQOBQqbbazptjD4vIvFGn94tRptiKPLmT3KQc63xOZma1m1daSBKILt0tfhFSxt
mZXN0RKlZV971wJmePjk6DGKGivrOmB5PfrdrALDHLTWZHGct340L7Y2gToAUPDyUU/FWxzOpk0K
Yy/bxfdvBakVKvaaZxNXp5I08xZpbWZBzoV6IYv4fAD5LRGdyofVyAJW/ameWToqeD+WoWuDcNgV
Ptp/Y9SkUIjbLyCgNt7BFrLz7ntKyPfOgeVKoGAzgBw2t7vgmtjsGi2SbV/0OXj86UKToj2V+lT2
aOmpOEgrwZq9EF7XpxP6Lm5SBe19N3fjQbBu8hPQOmt8N1H1KaJsFocelHsn8fyWJqw2VdLNsRH4
oPGJ+kXrdvvO31eUdM+x4aCpQeacjLZ02zSSUsRXhoK20aJDkeAw21U69DZP5IxODvqkQcIYCBUT
XR4jPTZ4QNUOT0s3afScOqyWwl1H5qtIelfQMYQWzHmjNpFvPdgPfQqD8E+IVK9oQis0zQevz2IT
z3cUTNvdEtTtSaxOr1lf2KYEBWgmJ4uIukkcasCCpzGfxMo5chNTRY1KZqeAQ6uxmmsTznYGS6vq
yeJdMyW1rswOXoWggqKRwBNj+125c9sQJNyOxvRULW30pe0U6LSxv8S4UnxDM7ePQICaHAnltIYf
s58Kv3mJpYE5cvCpD1WQEWGFU+Jqcxxca++r9sFETvOlDP1hK7yl3ajAckLs3jTlQzlNpzqo51sm
Qxhl2PELqYb2WoXWzshmYmAd+/U2VBx8+HqmN45pmjINEaktAl8pRxf1krjNoja2rJ96vwLa0U6w
FJqhcbge6hJkdvgMfoJDKRIUqH4QQ+t2pwYJzr3rL5+9eT5J00fVLqBkxyIFnQAtBQB83dwOUzQc
C26qt3omMrNlPEVoGZm7wiu2oW6uMCiivYdbd5nBHgfup8zju3pk7CijaT8wSBLRaqT5stSfu2rc
w4G4Y3nL7+oiepRK9jdxEb7UVgm3Vkk2i68gxTHGB+CN5qTlcV1/ogt25Ur0mm/BEPdTxLTi1HMv
3HmLvoFL+EPEfUhD5xH5oYbqPFEyqO+Jo3WZcHxLSYMU2Epi4d1XrQuOeWDZB29uuqvIZf0nMZt7
Kpw7UpgXaybbKRQD3QmBkCOG3CeyKfE30uCVTwvRedERUifcdqpbUuKyGYp9t3j6thyavkgq3yri
hEey+zox2b4MRdTdKyS+N20vh3TqF/U4LupqtjSoWM2k7ssy1pk7DFvChzBrGsV/LPDHG4vOfFIK
1txJWKJZ2wrvmfkVlKO2+xqO5fe6XsyRuYaqPC794tCF43VZudPWMXiIRrr2BkTxZ0JgYtXxsc4m
Y/Gk0IIm4ySuqN/4N5BWulvf5+BraaTj/VyeqG0fh87N48XBxRb200O7sDarSmNAG1dhVjXla9Cx
NNAq/NGFAZoFg6I39RgdgpLnKgo2KE7TAFi2NzbWdgCDLhctaY6TQ+RON7HegBnY7zB3R+IejsCj
tKArSCaEgcxSy/o9pg0LbmcTJ5q77XUoAogTZt5WiW/qYRtz1LeTEri4XUC/+orAQoelpiu2gYGS
SjjDD8gg0fC1567tk8bY9RY0sJmmIYqSN0hWoHnxJzf1WjZ9gW00pOAl/Rq4RidjQSkS5/4+jpsv
sp1ZruG2Vx/brpsSxJB5WE26+b4bnfG6VUiyMJTR3MSdpFnkK9NAShqYBMa4mmcltykAMvQLk7hg
OldOsGk9wEBeiXgK1mwHwthSyB8uYda+MyrOddVCuRFiWMaQVwRRtY7BbIWCroFjUm0DEh6q3Cn7
r3IG4DkU5QuHni2pJmRUc9kiiHOm1UaA5bgDeZNnADJKDZNq8yy9mCdeY52o4T+ghO/uqmCQYkOm
WNyUJa7J3YAwytJynJCHOgPaMFkwtQ3N8OHI1wWa+faAqrmgV3r1jjoa6c5Lg8SeyHrH4fZ8Hxcr
RQMlJoWNkhOBI1kWQ8138QRzETj8tZAeJzHuzOEaXg2gC6eFiYcsVhy/bXZiHtx36N6QDRAX7WTl
bGMQiiHCPSgFz5pbcMxlkVoMXjU77dWRn3TVYGUsDJx8FDOZX8oOflQp9Sf8gMqK+wT4DU3UEIUJ
H2QMwiJ8cYoXt4Hb4db2oK/YOpApdAkZQ/XaBgUEHBV8yZAe+TC/mcEWFPlk5vkJ/X1Otq2a4+/U
5XrItBeqo64Iuw1hcfkQB3T8PLp+AabmMjNzVJWeDviTjvVlohGttxXromdWL3oG/VEY8rUsVXyL
sqNBVFYVITdISMLpmY2uzAswK12MA7Dm6FlbVBY3TIEMnFBlwvJYjX1ATw2ZbT9DeFIISbVKcCUN
R9UwBwYA0/0km2VvydbHs3Tfu9V9gPkYXpWoGoVWAuy7IweIeNv4pZF6HK/QjhYytRSJt5z78bZE
PjbszFIOGRo8MnGVT3mOy7sIcBrj0+wN0zUw+NfJqa6k5QzQdrbwyXIs+B8miGz8bepo91TC4v+o
ulmg5HIkwuDoQVnVDJ55KjXxISdSxaMVP5RldyiDBoV4haiypCooUtwkG1x8SrNTw0Am876XtH3o
qg0pDhhb4R5RmtMDblMNHyNUsfbWse98jrLYUFuYvO4IPMQYRDV+SssJBZvVOxnIwx2uYBBkexeG
ycW8RO1GwpJOR2SRGTb6JMriipR+ruz5inQvXvhlXuJ06ZxyU5C5OVEwl8Vd10EItavqdILv3IJz
dxqY39wp6cOQ5RYLNp8m11GbSVdfeIV0ny4OSq3rpXjposwKVOqZq7kfi4xVPjp0VQcBX+V9RcPD
Sic9e2UiO3lUfXlkrT1cD6jqgihRFnYpmIYxcYquTC0zQBBV2lttFvt7D9QA3jf+UoQprIe7R4Fa
wOf48GYAUrq7WkU09zCTaJ8nt32CFo4E3TEcG4HbUuFvh+lZhXrbGryjSwYl7BSz0DJa2zl3nVPQ
VlQinAc/Z19NzNkImxc3ZRDMCaRMLEPFXiUjkj1mfXUDlgQSVOVgWFIbQVYuY1JJlcLhKBkcJ5+0
DBDdhUpLXab2hOwQOxQS4YAU7tV7P15akZddUFuA1coYAY6WbZfKgN3Ndk2sjdc1bLiufesAyeSX
eJnNW0gFzxrXUjyhE4lYigOJ4iaUwavkmOO0kw2aMh368fIY8XLoNpaBF4OLbw4OQRh00thi7k+U
twUaOqQA4YdB+AVhEYLB2IYeeK/mio+URUko1WfD7T3mD0xI4bzRTHlDceJP1uzMSTuuAxaiWuVT
6H3vPbKtw/5laFGF7ep6YCFaVizIQsCVJ0dKAuGf3+Qc38kjclJ6P8Rq44vAozlmJ/h710ELapls
chPNPfzkhUXbKCFtrc2jFzRegtZXm5ZOVMBkCjxnmw6PJpAq+Do6dnGsOLSb01L6KcHNnLogLhMI
BXvEO7lhoSys/ehb15z3zqZh3WFq9Akc7bXzFh9GS6nTaHu5bGyox6G6hVR0WLSi2Qi5KQXHCzTx
EQfH50ew9pchG6iFI7VI/1q1HTjbSBtenWKqTDoj0z6EsnbRT+Bg3KGZYCwMFBDmBi7xiIpRuaAO
C5sfmPQmqjsJcfxDXAAXSp1+wYA3W1gvDa/Y0VihLW+4tGdkeYMpIAduO7dIOhfucElYgIN/0H5v
HwkoVlFeFE0vkS0wnDJBl4xrJLgbju5Fk8QLl4+Mx9N+YQF7gR93JY89cxsrjbhoXVDwXT7dzIWm
1XaBKnA+OIo+In2arTyGjm5IYO/h/bD5XE95z1EfasutshEN030s3eGt8ILpscel/w0SEm5tdWTV
d4sIoTa2dOFkXHHY/7m9Z9ZQU4M0u4BLwqjYxvCYfePTYF/FTkV3xaLDIS340JAgEWDC7OEO6+Qz
XBz8aFP1oWnlBr1rVfv3aggxdwNJ0xLjvkuaUaEa/YxRgR4qL8szvUIFBd96dKnskYIF5GxYseCv
AG7LLWvcLkEBVJsphcaAL0t2ixzKe0JP/Jb0i9zxmpCr2e79G1OjMHJGYmW4Qyd4xA9CPFYaJwt9
Cafp09rWkYf6rK783AXvPAx2RtgwJOAQ7LlLa71OUBiklu0Vok60mXzBE0SAeffnRv85qoDj95PR
FPgYmwC4/gySgukEJAvN1KU9Zs+UaH/NiOFB/FiYC6jPOeq0LgRQL3ACFx6CGM/xHiJxTTvEngZ8
AVRhSMPKVVCqVC+cBS8oWqcMYNQAApHXXEAyzqGZn+v64IsDpraJfe7vyUAIp5YA203XtYDAg/JT
PTfqAu/hHEhcV4EWC1My4SyDf51tIx2sgTGBbWRekBLppLR2280SRhtZB3o/aPuSvfc5LvxzxRW7
DOHWB4rdGYo3MD2TZgKWKOsba76Key8NoIf5+9MBYBRugMDdQS5cX+ovFAZklpB0lCtVsNyj7Yyq
K481SULcaX+/EKaPxsBFMaiCfPAdEq5Xw/AG4BZ6yNQqtpXk3YmPsr0vi2r/14vB1RQ27HDNB/Xy
nK9WGQte/Zj1lHoa1SFSD+TZfdOl+Hov7N8H7gLekg9cGXY02MJ1Vsz7DbTDaqagmOP0fYpvZLEJ
uqeizhUuB9mhX15uIn8fOJfO/G8+agQ5PCKoTlAFnD8gbIsptQvURaJnMmN9a79AxjylkosmK5rq
0jyg33xjIERC7BD4KCpA/Xn/lAxN2k7MOCYxp3CUWGxYxHpO/ue39vtFIJ11wTR0Ybj1fhHfRr4w
lfjEQgetiKHlfkagrb/wxn6zdTAlAdUDJD7YHJ+rN0YgrP1EsHUyuqn1vZy+eey+E89/fpafH86v
YC7OBZZBFIQaBUrfc3DVDoqaq9WyxxWAyir+3JfTK24/8HYEphBUtyD1bIgtmkSMRRJ20Y5XwdEN
xxStpydXYput3pvTuIlvw+nS1MXfbkIEwijg8xBUw7PYwoa6xxQjjBAtcPXulETLXs9K7jEe0UkJ
eEa7P2/HOYVpBZhhBgpjIbiBQYNwFj2dKSSNq/CVRH21jemciig6VXDKIOO8m+Zhg8kdXwcuPv15
2Y+PCaUu2Lyr3AFf/Lk1TInbv+Vhhw9f1VvcHJkZWOr3wT0Gdl44vL9dyoPODHazTgzpwfvDa2TL
XShmsRTawnAbssE3cTqU2RfuofVLe3+ucCGAGYqLDs5eeHvv14GNBqKoQhwlbYVRdnM2jAr48pJP
HcvmwVkz5AtfzAf6b4jEAQY+K2cHWjoEgvdrRlNAOivEzT7CQgreIM52YNBqogQCVG4/9Q7/3Df9
jgLXaG3UqxxdOzLcVxWwzD+/0A9Pv04BAgkcBHjMavxwi2jL6We+sj78Ek9L7poJlulFnZAOZZqA
U82FW+vDuV3Xg2Z/He4GA8xzG1sfOJfdNS5Qg1zcDldL0mZg+70M2z8/1ofkAsus0XUlnmPsZXj2
OcoADYQAdUOKdrhMIPPANK1ivle+9YgktEwjV2f/dyu6719pLAmGrALESwPxrRNQFcCIxSYAIaxh
U8F68M+rnfPrQB/ELHJcWFB5RWt8PztBoCq1A41wA6tmPDhBAa/IOlOoUdEeaejOXeINVdaGqX+m
Lv6VRcVjU+N/564Tv5pO/K/t92adwt6f/6H/B60pMFTgl83/MEb+4XX8Vv6P/+hev5av//Mfs4tV
XPnzP/vHocL/V4B/0PoARc2F2z9O/b/VlQReE2tUQWwBTc/BKKD/41BB3H9hGgBeInhtLsjV64DU
f9SVDsbRQ1GP3M4HLR5e/n8jrsRFfBbhULWhKMFsFgxmQUp6nvdSAKWYielZiWgd9NXRpq6/lx5u
xUx2oX8wPtTjbrcsNgx2wPJIHDS8nzEqu3b2GpLtddJuLX50tTM/UBqDqOJ6Q7UbI7faumzp0d23
GVgY4VSA2AGQFp5P4DBg/GeL8aRVR7/5GAe6h7vEk1wiP+3AOrhy6nmwUwLHoZeygn7alaX1rYg8
+z5U0tlMPvJlbPRnMhUQY9RowcQR0IcdXP1Iv1cdp6/GFcHnmXLg5mUo7qGEl1UCLwm+5xT3PF7J
Eb8bbVxImkFE7ZTr/4ATLtpAotMYnzFK79YvABkQ5AWpKsh0B39oCOvQnAnLlBSwQ+w9PZJExwyz
NvsBHTRmBmjsnGGpq71q68W7KnoTkgPnAtxWsEGrB5i+uHpL0PhVWdijzL5mGOS4bUjvXlfoKy1J
KUP/kz2EpXly/bGT+6WoxFVY9v33ggUCvARhIwkFMQO+S24rngxrSmiuHegWHjDRuaXTTsKkh7/x
FqNpNCBJPor6WfbtDEyoQAAP2m0ULV7xqMHEon7mK4VmUe5pPbb6x8QMsgvAeHaEmw+ckxojUazv
Tgwy0a3b+n6NAQsRSEJxLstibDorqyHJV/a1qeGmVGOwQVXSU2mNAvAJjreF9k1G3WDk3EsxGzV2
rqsoknDH02NXwgfNgybUlfb4bYI1AX4wTtA1DB/6bj+1I6Bo7VdNdIR5MOR+gIZ0ATKaCV4KPwJv
uQ+iFoNjFkMBoE5R/DqOPjp9Ddypr8JO+2hci8FbMIO2gxXSpkA2Zm80xmXCjAhN5XQciSuuB094
+j7wgN+mXg3uP1iObM7R66xnNDY6Hb/EMY8eIzhNnAJVsXFjs4HfhYGJ9D18IKS/nxDh++fJioLn
Yomrb7BBIt5N22j1xaAtWW6X0DKJNCXcqloTx1Nqmtq/jWA1APsgZdVlFrQ1Z0/9FP5v7s5kuW10
y/OvwribqopoZhETh0VVhElRkq3BsiXZmdogIAnGQEzEQBKo6Ije9EP0uld30bte9i7fpJ+kfx8p
ZBEgk5QE9M2MdEXdsC3nN+F85zvD//zPDBQANfzEfwfB8qkfazPKkXtdJz8JvcHwKZnbVj4eRAKf
psurYjmRopgEOgDyZPTJW86Kn1M8qau5DZrropBJa0EiRUdRfE2o26Yx7H20zQqs5eehLS1WwE8i
UEk4k6NTZZDHXyI/k+81LZdhjnXm+S8B7cpyyKQg35gklGOcLpZ0IRIRNukT+ZicFs6rYTbRtYVy
N3dynf5KNJ66d+1CBpQU5vbHOKRx5cmyG1k6MKblfDUFwrcsjN5wGS+nsULB6tiGiC/6ZLtEzc4T
37FXk9QTNB6BlYJ4lPQemD+IxYq7wI5sGcgJskjWfC6pn/3QIVPby2kDCfGd1590vUVOYn0Zkxr1
aErwMRo6/WISAzHPT+z5wPGn/qy/OHUkAQHX/dEIvBwhX+KKUt82oFdXz0PCrfASSgv11Idd8hc9
U9w8GQcjtQsqQpL5KLq0TC4sADPB2B04qln0I+UmklfypxG1G+T8rLn7YzBc9bLTpRd68GGN5Dyb
DMjGOidwnjnhJ0w8uqRbwDJOVvBonfu9LAqhG7cCeovn8s9FsQbmFMPwO4VZ2i8rKUt7gD76jnUi
BTmRt0jT6X+yHAxmi3HkAOEY819b9hR+b8WeBI46o2msmlmwVkT6SWFZ889F1h9976JYo/FyxB06
tVOi4pA1jnCi51KqT/yFPvfGPtk5wEXuvMB5WqmLgNihnzp97FFiuxPa8VrKaUoDFfp/pIXlXChJ
aA0+yvNRmMBP56hEp5KuPAxSQO464nOmZEtd7584XV/TT9NFbBeTrk78rjuGX1CKwckN+0A7iNX1
Fn2yTn1yw6gPoockyK1k+eDDzDMl06mQXM7kXgJP14nvhpEra2Po2Lp6hA8HCFsFJqf584U2Gy/n
nGnCJVkWav9aV8HGSKtxL+ghHQR1EzAdXfj0uuMZhzucOgr0JD68iSqInkC1oHOZK9o8nkH80527
E5lnUbqEvHYl96ZOJjHu1LZgpg9PczUJxqgd8hWyBgjQHXszy1+dDVWv8PVxjy6TA1JKlrXKsmlm
D5Tlha/ZOpgmR5n1V7ObrkriThtH6sifT91E6j5ptuJn43hpreaXUIuJrEMgPWhLiJ9uc0zYBO6W
LB+d0KEuuHXmFEwSusrABS19Le/DYuun5GSHoZVd6goA2HOX5Ed+rq2S5IenBcldl1zpapoqgz4o
uTjyTdu3PetUl/oJHIWFNwdyqazkh8gDhnPXXS79YGL1BzNAZl15pp35EOcMPsszxYkuLFWmggXm
d0CPgMRHxXjowMHDJ/AGfbDL3USm31rC4l0gCH7SP0l8eiv8vPC1CELDPO4X6ecUVh6PYhAybePI
9ZfJ6QCOE0eZwGwIH6Xloo4V2YbxRCnyvn9pE17+mDsoksuln1GOBR3RQivOegHpZzBy85V8U4Bk
UWCAhnr3dL6Cq/kLQE9JOZGdhfxgJcoggoKyiEYTJR66yfWyT1kvDdCGn1N2NPpmDbNwiFJRF9q1
5+kL9RPoPF6oGdH2hT3GoSNZkM4kKDKHy572uRcMZpQEZKCNxq7wOZ8SiY72k6GfLX/x5l0L3zVb
WdcaINNbLdL104Gtojbj3LEx01XZ9XEvJTmTHyQY7COhdNTwIQSk8TNIBAe0WTCjuUburgrR09Ga
O19GkR3cSnlP1r51XYFMmnQXM3LcaI6RClqCxB6pUmkU/1ABzsbfoHMMRtPQ9enPlAzTuaaPkf5E
v4g9gn1nbrT0ilOyMaTTUz2BkWricCNopufN1bnyyVJ77lPkLfrRdLiwgO/ayGJ+s/BXtvWQpYX3
4PZXmgIlZJ+Fun4ovqkX0JE0xOR1PubKItHurKCrATH2NS31T7ENdRI9q2x1GuH16pcZ5LnFV2kI
Av0OeF6PjubzcDRwxmAG5IdAtrPkxs+14AY05ODB9dTefLpKZrJylqUOohJIckTLvKUaLcZLhWZI
HFuxXIVjRfKdxUPm0msC7QB4lO4vo2xxbsddmpcuZpAYgdK08uHYcxXvZx3Z7l3R0yLWzpSRXtgf
02GUa+NhP+Ip6BcDl3b23iJli8pcENxoySheTBVLo+MAuXb1FLvLvpJWS/l74K3cz7LU9e+G4TDP
J5pOAeA0nS+VfJKAfAHdIvEE90Ls4YQGYYw/XPM/UkMCP85sFH/vjdKIFK+dZRn9oLVBd+oVs/7s
8wx68NlnUjWUu2SzYHReOHk3+ZSPcDp9WKkcKlB62Sc96Q0NPUqCxaSrCTwaxQSQPyI0/dvuIgGL
2NMHqiBTzrNTzFnvRx80zrmedWGwcjM1+RH2tNV9lC2ks4XeG9jn9E+LvtIldZmf0kYREXXALkz6
bOEjeGWPugqn90WH4PYzJOLJ88Amoz6Wek4mT4TtOOkW3Z6G1CtqSlJYRV66EI9G4yGwClQENFqj
cTJa9uRpvxsUkMMuCt3qnxINVC8K2LpoB5UsFPvZn/lzjcTmTAepr9pUqgx8HwDxfKH0fw67M/ci
TBdKMrZ0OodQMRMOF5PlrLcytHiew3Y5mEMElWIv2mSuvD7dtkmEDy5pwWxfQf9IaDlMYk0SqOse
T0OYDW6w0kcGpOVAdFYUX4xTRXcSarNh55woLkRiJ1i5izu7WA6y8yK185v+IkPx5JbqnssIHcJv
07RsOkjj1eOsRxXpR58aBY+q+64yPx0BfQ7HPW2ZhZ/SVSb502UEmyrN21DsR0IHu6ERTlgiqwd2
m2qieq+ymSqtCBcX/mSmjrgrM0yJHyttyVpwClhzSinw6iSJyc4eCcrsxH42kf0+5Y/EJ6hZq4ZI
whj7Yg52b7JaeTwss0KzbimZgDaONC2I0j7RpgU2MvC4NDwvMCmWR/a+JyAuCntx3Qnxw3dfiyny
TAOhdlDRkd8DCtj11VM9yZMfW/GBm03scJtcaG8KQwQtB+BWqRqr8+EVnnCDll1/okHDkZwM5okP
eUHfGV1SzR+Sau7SBBZc8opTwIpDoUjzvlJMwCKpd8R77OhI1G1339Tu4vpDdAIvEOnE6smnLlUo
nuqEoCUU9VTq474Hem59ObzvfbMoxPaEUInSz9osNF4JKdfGe6BrWPERx0jFxNGDI80RdrN4ZO4o
byBsAp0EvPfVvWirIW6jOwyISuC3o8CpHsRrmef3JI6sYz10d/dEspBmkwNI/AXDSm022prTWUtf
Am0KRlyRXFNX0x6Ew8fKKnej3bQwozSpPxRsWrRjre5qEfUynjvuhq4HC/c07GrYq3QpgJFPiYLp
TEmdY2WyYshq4Hs46MF7C2dMn8TFTg8dOk/wtPrUSvQDaoOcvnKj2fbiomdn/btesfSfeG5Wk14X
OT0ijzvfkK1CzQrxDtyUOFfiNLaSpGEfjFI/V4kjzLwlmnqlATOSE59Kpthy5SOVjfVgqWgkrtHo
j1MlGEyNTU0w5ciJfHAt2DYLhWcnHa14GFzSb/fawsfMYv7BF12ztW/D+ZDSAS2G+MOJZs7Phy/I
zkdmHSg/SaKpATmHelE0rcNcWelq/sRN4QeBpJ7yoBMpxpaakFbpK2PQOkcla4++J9lAAaskFBJc
q9WzdmCkKGbDJcoo1bRvfjiQLGniuCPNP/GCHkUSI3rJuzYYipHlHym03/nOGvgBeKrgqsK+2dE7
YCOFD2z7E28x0C96WgGvp9MdJj8sW8WFedPpEu2nYRISDXuUoKSrN8bNE5CzK1WyJx7+6UUGAGhG
AVz/Fy+ZuScxjRmOSXFNN4gJeUJQeAR82WF9wmjkpracAaoP0wHxUJe+i95xrVoTGsLGZEp4rdep
forJat9PGzqeDaKPKsgZSLB45EonhZrYVB8sZaD3vdWx56smMJsJxXQIK+Q0dZVH4TqtUvXIoZhB
kR88HNbvK1QQERPtJLOIA4Gj4KIe/ng1SWFSmpUJeAG4DLLvdY0AZ2QMNWZEN9/u8lknBEOeNnv2
5P6xFiZ7JlozmHERReJLrekCO3ekSKakZ5JzLcaeJ1KnHqyVrjw7VuK8Zyo46QCDKFCmwfYm4vJb
Wo4CsLzn4ATQLi9yaUHApjzM05OR+N3h46vXyYvzI43I4w4VLbnh9c+35qKCSXMT6v8mET2SCYK4
wZCA5zJdXLlzrXA/6ZAdflEoNLgufFwtKtQKmO2HK7/QzxYqMPmrSFp5y+nhZe2egApYBHiKRF9s
MiS1ww7SxTByE4cQcYFbpwNbo6gjc6cj8bu3TwX5H+fM5sH31A7bKTx7BdjNnkjzxf0gW94v/Oy+
x+/fPg0mJG8XdCoSXWqr39R1XDUKbELmqeRCpUst3FR1Ya2kI533jsMD9iXKpJBUhKg6lZNBXLeY
URG6TPycHncUr9AWnDb34neHd7V75QXcRiHLDuqLvju1qQiweEDoJGuCreOeE23mflOOX4BgQseQ
37CutG6weDo8a80fQGYxwnkcoOFGQMhmVjcIVrOru0piTdBwo3DSw9e8Xmp02xklKXJq28vvNF2B
KXpIOicdzv0j9uoe6Rwgn/SwhrWSh6P2LXGWl8M5NUu8/4tIvhn0PPkBbD22AXVVLOjwbndnY6sw
Zkg9wXel1n0PoHRRNhoAK53H+T11hwS+++n9K3TB7kSk+sCgACwi9d3Xah9TcimhWNggWmfFan0T
SJy96ybA1iRD3IpRTA/B+umlUbhygMGT5+gXixOHb/RtvoIszxa/e+vR9UWDX06P7eyaMMs0pUeh
FHF0iftJ3G2/53x6z91GENQBVxvfEORZ7eA8TcMXnpMnhTcipPNL/uwranDh2unz4f3sGA592P2w
A7G98ZZ2eihrdteh9oRwh6tK7rkqChCO72bPJAPoSemxSNx8d5J04OcOPIr6mGr54FalxdsPbpR6
+uatwAWJaofikuxo3Trx4cAhE7TSx7OFYn3hfQku5ml2zLPcFWlBSCJ6yGFP8lvx863XDfvWcVQ7
1alXBMhzorK3xVmmupjPo1mCBX94U3unA3pEWwdMEVqEVKfT8yTQBzmhUjlc5vcepN4f5zkBA49K
7Onbp+rTbAtzi5DdzmVV5kUukRqAMsSf6TQ4HDnhRW+G+wz7AHVHhyfbEQmCABIgThz0nrzr8c18
dwQV+ag7dvWeetolEjTt2QjfG2fBaoR4aoRiQB60elfYbjGLaZDVH41p/6OeJkRcT6DlefPBMQuH
RvRPPMe8WdVvlFEh1e3HM52iph59BLPeUFrgK/uDr9iS6rGOjDtGOLMB4kAJYfBjOtaeilWmJMO+
ReXywNmURoJdAILzNadW9ESnqv7q7WcIXzd4El4K7LrafD2YIOak1EeCtoGoZB+40mpEpe2bZ2Ff
gL6QBvBodZtJx7UJ3TksMbbX1fOLnr/CHaTD0fwo1+6O5PGhCNgMsc+I3uwgUfO0gNDBWXKj/Dm9
tcidppQXD6lQPCLia7jeVlQDFNuwJywzWtqCruF/q3KRWNCu0D1EqD109wKWzStH1+VHHzQCtVAK
TX2Wyyj8HI1Idnbpde+dSFbugu+IIR8RPZJcWjJRJR6PA6XXvejlfnYJviEhlk1R9JS2Sdl1li60
By2EiW9CO7HkeiD5xTebnnHBGeHH/L6vpmF0MYe+Z3Y6oM8WTHMD1flCSpu4X2ppOP/2rD+3Ps4S
Mg3n5C+/z/Wl4n7ydc36JdFSGmIBfsyc+xVd5q6JqScK+F2NChZKCZP7ZRENresEblgV9pKecjO3
5GFxkgBouBytJIrSh6qlu1OVCg/iyvCdmnDz9P0xunwp02elvzov6Go1vE6dRHpwaS1H2mqQEf59
q4RRNAIfhUwEjYe1fm8Sb5isXMG6klnYsMmsG5B4OirHu7dzuH5LyS4SbgXrXP3mOsfRo/WWPlaH
IeEkhQ5UdAHLsCGXXf1ayqPi49u2BUYcRwtQlajLGMn1GHoYLz1CRBr99bJZ8mM18tUzL1gc6+FS
vzTMgiIlyilQvvJOGNkddun/AdxjHK8UTHEHM6vQuv7t4b3UHztmgXYS7KeoISAkV7PCdY+KP0rU
dHL3WXjhJhEVoYmn4wH4NEM54mjs2RIeGhcU0x9DuG4uzNwoc8Iw646zJSRcoc+zYJG43CiBtjGK
r+u09f8Byfiykb0tuDbdwSwzFD+9CZ0gvYMhKHXS/EtmxvmmFder/tF2M6/dgV7XtkuW+YKVjhPr
kdZLOTSCZ7Di7NkEJqn+1CNCJrpjjza//tbxwsB6+bGm0EgCPnm0xOYX4sd8Wye0u/TddmTv+zeH
NmCuj7xsotHsBPo/Qa2AgyT3XvZYOQF59BOBLziJ5QEHJc7qz3YCxI2bCoH2E+qFbgkos82vyhFo
0k+yLLCuCnBX8YtH+88lBGuwbzMpUH8SbQ2GmN+VvavqT5jIJLQIXa9/kRV97d5fcUt+0xQEiLzn
tSJxzGSfKvm9f1Cqkd2fb4Oh4e7+DaS8/pd3eWRuJt9cJfHnf38KM8r3UWKWEwbrS771Q9HgcOuP
lX+7wZFv/bTUENtzvRzH7kL3bqH8y3PHjA26oOTT9ZV/2ZQAr//b3z6QiDACvH4j2IZ+I57/uZR/
+1tlpVs35eDIhRk/Go5bHZi3ufHAsW/SpqocSGgwbm/TUccGxF3Gs5nY5VhrCHwLB3GVG4FvxJVh
21iwndU/Gveu8THEWWA65TjiCETbiKajTgz/MXyufjNhKTcd9zZ2OpewElSEQeV5aTowNyyoDtqC
4J5jFHQuxP/cfvharlEcMbmD8o9Cibzvvn0MnsPATKqHTCa2lZHro7ZwLT4ZUVU1gNhpvtaLPLby
oq7O8J2aD30dxqnN94vNimTQrLT52Ldhtn/sFgTjwiiMmb17JC3c60sjTMrNrwVZVPk2vXtXxpMR
7lwRrYVTvuLuhV5NlrUWjvjK8J6dhVk9i34LKoOBDZCGVYETPfKaHvK1GRleOcz604ky9Kaj3hix
8WR6nY+JZwTP1eMQbnfz8QVYr6Y2BGN644GxHaEcdVCg5WDiUNYE2E3HvnUCy4hQG5WRpRak4842
HHHQlYFFl+GmS74zaA+/c9JrbFjzoSlar9iaID9aWHEWz4RZWJcOWh01H/y+eDT3HIdo0930OL45
ZhoYfjnQWujaUHWfoWYJF52PaRZnUedfO7Bkx2GavdzM7enI/vRa2MjLhBdZYCS2EzNl+Vtn36TU
hyvlKt5v89xGsZF6+T59oxAib+PJcJ6fPbMzNZK0XK74RsAYD46OFvnNlz7kJL2c2q3tQKluBJza
b7/d6NDtSYksUFEOxqCp0K1fFYMPFDve//1v/yOZGbnROYtz49lgBefGY+gb5Ver6EOwqKCYCD43
XcEdrRbi7qWZpBWtCIfeiBhJ8/FvTZyCWSnuyb+eOAbtiVN29SULno2wnEF8S/o+EbhvYdKTcPYc
coB3xgw30vErr/YIZDN5tXLi98v8hZHRSXFWDiR2IPWkHunIFgyZG4Nive6T7RjdJMn2zNHCt7/F
094zcgs66NKgnqZm1myO5ugjsC+y8luQdvI7kaUywPL2n79coLW6Vyhe/wtGliZGgD7Z/tBtqK6z
2DSDus0DfUBjjXRlrpynil4ghdN82FuD/EbnhghcbHYw1TpXzjwzSQ+UQ69FoNfCTPeBk5rPndvU
SGtGrABiNVXYEwaIDa/zwTdj56nyWYnqDw957rwgr3oLJ0bsPD6aVeNQ1NGA8Tlk4m/G/+MuMNj7
v+D1/eBZfOnKh25BjD4IB7wyaAsv4jhME3yKyrCChqSpzI/xJ6r39OgzQoCfxOYhi2+MQR48O+Xq
xPVvw0WZ2Mbz9piCAqXp/r+aUfboOU+d8Ecntc0ONYtWRUOqLejdE9MPn7Dimeb4fC1IIKFoMw6r
+ldtQVgmIRZtNRqmHdJar1WKpd6lPOkJB6E8o/LrCvnRWgglTIzI7Hwz4+eKPS6wR02lCP77R6Kb
FYnvH3ovXnkyUyuP0nJ54hjaCItN55mBp+zw0p1lRIMqOkVQJjY9jWkMYXJ1WEHd1XjY1HbCqKqu
23Bp7rj2ZyRvqiMPWzBXzvAyK8p12IKsnZHLrHyyYQufbFcQMEqaf7LJr/87NTvP/0TjLqcaGwQp
0nz4CzPIK0ch8teN5ezSeaxbBaCvWxjXTMLUrjwuYK5bGNd5rJ2CAOs2vW1XODaWkTxVk7rQVLYx
dB6m1aCIpLXwzIqQz9Ip1yfUJVjs8o/vD0YwbG3QFm7xFQ/pU80XayNycmVkaF8nw2HYSMD6GATy
uLlAiJHBUVRvXBvP3FVYCP2L01guc7PqFsT42sHEr4zaxpOxHrV2EIMWLJSNGoY/KUmMrLJqUZba
9At+/fXvWQBkpxxpfciCtbTxwHgm1TCI3Ea2/9bMn2zT82quvoCbNl3xJhf9YW1wlqOJ4wDcV/7x
/QqDwKxpVUN0sqhmb7xoEWExOpcmGIhytPWiBTNt48GJh9fSxjATtzBu9lyNdqx5NZuu9i6semkQ
draw1F//Z9iBEvXXv6+jWDfxr/8reHKi6lkrLZz1HdewlvCGzaX5Bu6MoKgraKonmg98b+1c8Dag
TcQJZmCQOqdGUjGL4FNuvmawf07Npqd+ofm4U+IwqRNUTIJ13WRTmX7Y8UEoB2++3gfHfzQel1Up
FjQhTde70aG3O/d70ILWGJNdvcOYq8A36F3QfNUfHvMq9g8mEVF3AnqdYjd6s/eO+1N/XBx2k5Ot
5GTEO/VGiO72+l/+8+2/mgoIbYkvrsxV/qT8y4NBQMOOSQyUX2xtbLRgOE/yKK5at22YzWfgx0gr
xE5UWa9A8Te9Jh/j6vsH40ALgyaxYVYuBxWhLQwL8345yvqDyVL5x/ebQ5/CuGYCAKFvPuxFtjSc
SnAMyqXmw16aj0ZQs5HbeEI/+zUxaEMFf6G6qOrdiCKPphJ7mCt9ja9/vzTc5rWMi9wGJPYlMSj4
3TtT3yHWXnMaRAVU03P5DpSjA4a+gkuAPqj5yL+Y4LrKYdYmfb+Fi3cddhC6f0o69VwyhUzlZO//
kGckuYLObfb4DCCNwH3lKqqU2rRgd2IoP+4DPgEFQd8Jrv2m3/TDY9a5yhKjHGmt9Tajt3BG//F1
ejv9+m168l87QnjMmAOryz9E0IJ0AdND1FXREud4iG3fY/0PAnKs8+Dl87/GhLwYEAfKfnZKhLbX
//Kfb//VtB37w/Scomr1tqADYA1Njc7XGjygFb/C69wa3sJ4DisaXfCXNBXyMxI+Ju59RcpHLdxP
qj2es9hIyiW+3J7yj+9XLtcccGxYWWXF0kEIxitTajdkT6qoNUkwJhw+4n3S+Y+5cKJbVu9V0Asu
TcAudi5b9WKGT4BPjvybSiXcH1azV4fgCAhK7TO9bPmVX/5DgLH0RBK+KlQgThuOWw/l7MlCvW2l
0ywOq2EnqQfhRrNlbkp79mGb1uC8ZkebYQLshA95Kxoe7UuYdhePRc+p3Yj42w75s7gJ1Ri+YGxV
4TeBvRBiY97kXWv6bXPcYJ9bYX0WAZKFIJv/h+lPdBU6ZLOjW1+FLENmjJogwoNFl8d1B1BoQ0E1
ixZJv6voXjvR2PAEkGUXgwfDHS2fhyNJYX+CGfagZfza6a7Imkbgxv3qp8JqotHbUDDCSgDGRQvS
FvZ2ZVh2bD6WI4nnjIaFA/F/gkQKNjEYPNqY6DccYOfaBHYUCwu98opC7iQaS8J0C5OfoCY9mCDd
HOYf90pt1FNTs7D6Uv0pXiGPYEBV8FoIMXygipVEzraUtZDS+iB0cHWtUgsG79j0LCerFu8cugGv
VFdjemw7xjrPcm7GhWmFi1o1suBr+11l9dpZTM+oRQvbQIjQ/MICyFv5gkoLyz0xRRF9JbzQRhzg
Y8wxVCvoBJl908OdJmn9aRPtn5sOOylMUZtRDrTWwS2c7SldjmqHIHrcNl3tqRGH5r4QxcH36JXi
e0ro+MksFylOQpCNN13ymfOIrVYLHLZRYHoGtVGQmHm5RLHg477VcTjxmRkTx6oO28Y5UGZRPd02
sBCTOCQ9WBHfNdt30692nlFhG1cOAbah8qjf72l/pJa5di/oytDCuKnhVVcrekE3PYVPZlwTMOhE
WxiWSOaVkVdjsNDdNR/50kgXNWloI3N+6aR2VjdNpF0XMftPop5X6pxbL1wYs/qSWzjjSwe9npoB
YdBaVrCNbP9ltjLhX8liq/xmQvtIbZQvX4XeM2dSGVfQMTeVZZgajDoCsIUrAlwxrS62DRTB77gp
UhvJfiITS6OqK9p4munxU1dsbWQMbqBIyWrwLqmN6ryvILBqzobcBghb3GiqfCoyAetlcwGmyBWt
GTtBFbzThtdxG9WgA3jBLSx4YeDQxc/lSEJFrPvINL3Kt0vzufp4yG1kzm+XTgrDWF2M6fpV7uD9
7/79TKAzKsbluqd006N4ycReQAjyHFbdxt0A7tufp2+iigq5m0ClWR7C+jMejI+88u1DI/NAmVZc
Feg2vJpbiOJqV7CNmhgIFExRunZVAxdorUAsNiFjuIpMaLeqqxd0wC08VhdhEi4qpw0LuAqVevlt
3y/gv/53cW/2uWY0jJHgyx4B+xqSCqdlzdHp/rjQGhy7O9HipoG27d2IAwY+tv1XU4LcW/iv3/1R
lcG1EUEAgeO/JPPk3pSTdrwUft+ZH/hIbX6Jshj9HytkmyhARYbKBRwCGX6Is8eKYSM1VxzkCR0y
z+vY5NiIHwG4loOuX5ryD+9XTVSIZ45XTce3wZUlVgt+gGzA5hVfu0AtaGlRITk2bPLmlaHbAG5N
jByrd5+WbsN1m9Sko41ysJPQB/1dTSK34WGV4+6vf26DaA9ekTpdSRsOEeiSZ9g+smrGejc9+3Zj
7xyAp1MR5jZ4kz4hx7XvRw+Acpr332pcIVEXUK9ia6NCXhimiSj+Sctlrq/2wQTrK23eG4K2aSgQ
TRUzTG4DIrghhrlw0jRZa9Nrc+FUNUgbrGybWS6zp6qFKrdhn97h3TrPxvN6+XfhI9n87S9Ab5zy
j++XmzuqYDbnM0Euw2SfMoRYvflEm4P65pBTgK9HGMeC8WKjFXZYIduoIR6LUtTE7nxzYsvZq+TB
Pjbf1/3twRlaiHSMCdXVCtjlNoB5E0AbEMGWR7A2L9qoT701qlYRPVvKOd4vp3B8pp0pWWZc8GoF
Bk2VWxh+zSKFCZPav/7dM/28HFKcCj1hyz823MCVwQzVWA3FP23wamyu1+YV6PzzJnf3L+WqxSYU
kBxH4QN/nOUvOK7+kk7YPnBaG/FPwiM/Qm/2oq+3vzT9DelgNaQjN9EM+mJqx4k//rjvvsHSld7W
ezHdf0LwTmwJN6hKlnKQ0fSVJtMYfu1aUq+NgqZxbBTVgsc2iprF96xEedugHJmEXlgnzGmD0Xf6
hC9Rxb+3QVB4iuPzZAu2oxp1ThvZq1PDm/1upLEFq+0so7dGJQIBFWqpbBo8hrB5gISviIbUBmhF
8KMTPqk839KwBQPhxoyzct9r9+e4Uj2OLbmPs/pi5TZuyDfyCAUkmJUPB5yz3MDvfbg/7hnYhxZu
+ihs70bs+HCg+Z0xQFq74V5UDroNHv6vWVLDU8ttRB/ufv0/kB7klXsHFvxPLBd7QPFN5eJPaCxs
agyozzP8sCJLbXgeYxBs9TByGw6NeIbDvY51G81gJqGIRvzzhUklXWD9y764RBtRgnWWUZRGCiwB
T92+edrA20zCsLTVK0EorYUI+anjOuUVFm9TG41GTsEUiELmku94ned1nuLdDkgHqYNfadS+2EiA
ZvKdDktt1N29jL+u6BEfW4SffqvIEg2uavUPRzXi8bedwHQFgLBbzfOOkLQJfuRFQtd7uHo6ITjk
lX9XkSzKIkqh+L33/vguLmDCfyTkUo60Nn3aYCGa2DGV2+R09jiw0vEX6fjKr81lZ2J4e8ADbSAq
rp0aXVwbeIpvRkCtbFY56zZiZ9fQ8lVHbePOigN+MKnrrYL7ATeUG3i/2N046RMxz72PC7VkLUxg
RCRZxRb2kI+20+fBq5PotXAdeaQS+i/s7/+0W0r6dg2zCSOemx7Juv/S+ZAQrE8g7dtkIMSNJV1K
D5NJFtgVO4USv+Yf5S6c4bNUJJWm8m2MC3q9HEZoMLmNjnJ3GYC+2mJbkMzvfF5nk5E5zVKa/VQW
3kYOecfIlNtgy5iI9l4im1de2u11awSfBwNqCmngDH2GqrUBsX0B+21qQWn7EIRx53NGtyLsxb1m
3EB0iOnBdzEkOkqV7XG66W0XcvoCTPrHIGH21bM2dXy2d3PcId7+1+Xet5r+Vhbzpp9v4UP2FdJW
Bn5Z5gGXbYdOYHvdf5Jd7qni/evtcl/R8J9sl9uisUdkXwJETx5m9r//PwAAAP//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CEEDD3DD-D6F0-4306-A655-91F8FA222CFF}">
          <cx:tx>
            <cx:txData>
              <cx:f>_xlchart.v5.6</cx:f>
              <cx:v>Net_Sales</cx:v>
            </cx:txData>
          </cx:tx>
          <cx:dataLabels>
            <cx:txPr>
              <a:bodyPr vertOverflow="overflow" horzOverflow="overflow" wrap="square" lIns="0" tIns="0" rIns="0" bIns="0"/>
              <a:lstStyle/>
              <a:p>
                <a:pPr algn="ctr" rtl="0">
                  <a:defRPr sz="12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200" b="1"/>
              </a:p>
            </cx:txPr>
            <cx:visibility seriesName="0" categoryName="0" value="1"/>
          </cx:dataLabels>
          <cx:dataId val="0"/>
          <cx:layoutPr>
            <cx:regionLabelLayout val="showAll"/>
            <cx:geography viewedRegionType="dataOnly" cultureLanguage="en-US" cultureRegion="EG" attribution="Powered by Bing">
              <cx:geoCache provider="{E9337A44-BEBE-4D9F-B70C-5C5E7DAFC167}">
                <cx:binary>7HxZk91GruZfcfj5Us596ejuiCZ5atdmrdZLRllLcl8ySSbJXz+gZLmrWOfWaXnuxMzD6MGW6ixg
Akjgwweg/v5x/tvH6vOt+2muq8b/7eP8j5+zYej+9ssv/mP2ub71T+r8o2t9+2V48rGtf2m/fMk/
fv7lk7sNeWN/IQizXz5mt274PP/8z7/Dt9nP7U378XbI2+bl+Nktv372YzX4R147+tJPH9uxGbaP
W/imf/x8sEs3/PzT52bIh+X10n3+x8/33vHzT7/sv+eBzJ8qeKxh/ASfJeIJR4QIRJD+9ufnn6q2
sd9f1k+UZBhpItHXP+S76Ge3NXz85NN8fZbbT5/cZ+9/+uP/f37s3oP/+dPct8m3Myft9oiH869n
+uW+Tv/5990P4JS7n9xR+14lp17aa/3V7fgp/+lf7vb3/Pa7Bv4HlM+eYCKIwpLd0zpjTzhTWGP0
h9bxd5nftP6fPs1x5d//9M4G91/cm+LVv/7vm+LNvw7ftfE/YgFwa8Kk5sfcn9Mn8GMwBf7jVfVd
9DdDvGny4fOnr37x06HO3e3w2X9/x7GHO26Q49+yM8zxN+0NtOkG7v/uIjz4wf/Ru/Lydrh1j2nh
ByMUf0IpFVoRcdRE+AkhmlNE6bcIRb+L/maik09z3CZ/fGxnhD9+utf6y/8XrsUPuuIPGoE9+f/3
ZJfKH9yqO0nlz5SbwmU4fM3V//Gr33PV7qOPpfxvaODyE+RzAqnkTwSwfcUfnzsdsP78+OdbP/zj
Zy6eUIWoVJJQzBinkITC56+v4CeccgiaChFJGZX855+a1g3ZVziBhOZEcaklRE0MT+Pb8etL5Img
WGDFtJacK67/xEkv2mqxbfOn0v7490/NWL9o82bw//gZvqf79q7tMSXIlJRgLBAXEnEkITB3H29/
BSgGb8b/JXRd9xUpSArPMp2VTDeXuWlEfEc5R6ToI1IYZZpRLSlkAVDBXSmKhpx2biQpQdwlURvo
h2gc24tsQPkNljKK+0m4dB0y+rYKRfvicfGgx/0hGQWpWBKtKJE78dWa160RC0sDxL5DVKM26XBG
U+o6deKkm752+gRRjHMQQygiO1G0qjJCopmlVa/PWL2+DqLiSV20fbxKn8dT1IzxQPLfHj/hETOC
fjmTYET4C4XgfVfBbnIRr+oITpgVJq6Njs46Y6ZviPAbIDxiRnHkcFyBFTFBggu9O1xJqFiV4TxF
UZbfLHPVfIhAbozzmt2gshw/Pn6qr36x0ybcF6QVF4pJpnbeqbu+xWOQNNXDNCeYD/VlVHBsk9WQ
1qVDFZkxEWUtz0bA5l/CWn/IUducdQ3u3px4lk2FD5+FMYIFV4zvncjni5Q4syytp6mLiZDpMufP
TS1SayaT0HVdktb4pxye+VJRHI95Kz7YItg0QmOfPP44R1waNPPvp4F64q7BVe1RrllEUx6ROl25
v0XGoivUepSdcOkjvsUpwxppxjSB63tf1MDKIdjZbbfH68u5L19VnSfXf+E8oBWGMYREIeR9IZVc
8Ng0BCwNN/VqQynJLIvsolxNd8KLj6rujqidUzEzqFkUjKZIZlliZaZjOXZPB+vLw+OHOqo5TUFt
EF61YFtYvBNcKbIr8xCR0m727tBK1F8HOqofdgWlIIkwiGsKYS62896RUhbTwDqp2pQbii6bel0u
p7KqL804+r8gioHzI00l05huB74jKgMzmYbJLq1DPbytCxtdrKomb6037umP6k5BamMMMhNVku9j
zTC2Re806tIlyO48a90Ui8rNJyy0udX9Sw2moZqQr6kBcsP9Ay1Cz4i2uEshe+PPwtPixq9CJ0h4
dB6IwL8XZDIXjx/toQPeF7pFmjtaHGfZ19KELhUGq7cq6qdEFEgOMa60OOHsD11wMxXmDNyQk6+o
5q6stu9nxp3wYDFTJcOs+6ueDebm8RM9TAyaav7V+zSkBYzun4hiVdVm4j5tcIQvqO/kBYI8EtNQ
gxpxxJ89Lu+I2TgmWigiJSd67xy8mmVGHR7T1fekjZu1DYmRc3c962a56gsxHrSx7YlAeMRuAiIu
KFEqTAnZBQ7ZZpbqOhvTUlOeiMbVVxXAuVQV2J044BGFiq1MAyEQeInaKTTL+mm28wQHROP0vOVu
fIXWXKVtN/dnLNNqPnG2I6kWsiwHpAm4BUg4vjuct6WfSZ+7tEQFjYkfmhaSXM/7uApUxibvSRGL
1vHbTrKyTtwwDi81Dv3LXPdqOhFoNmm7ewm4d4NqSlIBtMJ9h8qHppR1NbiUV9SoeB4q3BzwMJRL
nDW2/9UXSy3jZRZ4TYoCF+yEOo44GMRliNlCb0CO7+LC1HiCQwbyRz2YM9pEXVoFP6SVx7djobPL
fgzDiTM/cC8gDwFCkC3uISIA198LC0EFvA6DH1OCm+Lgp7yJy1ZFydI2nx+/Pg+NDaKUYgLQP4HQ
gHeiuoFaJXw9pqHBrkprScy5QkZfOjFQlIY+sPOlNcVhXTyTCTGZvFSBjVeyCn2ePv40R85NEZhZ
K6zg9FupczdEhaZah5FEPh1qx2MZyf5XXuHsdc/b4kRSeXCtBKIYCh4onDY3J7vIuzZqMRGvh7RD
bXZweSGTLrLzG5OZ+cwuo3r/+NEeRF+QRyCrMCU0IGa5u8YimgrpDEQMl2n9sZxXfKYHF10+LuWr
hu7dFhBDORgUYSg9yN6cxWRMvvIAx+pKc429LvO4LdsqHaKc4KuFOXco59HHxUyzs6W3xUGWc34V
OjW8qKPS9vE8WnazqiE/PP5sxzTAGUBHIQmUsmqncUGqKRINhYuMKLqaKJ3P1rbKTqDHzV93CoDA
vEEgECEw2lzsTkbNRxPZiq8+Xcq8y5JsWsubfC2tSbt+JOc0QsVTDyE1Ja2JLniudXTCifF2kAeP
QKUEO2xhW+8ihu1xiVsz+dRmJTlgKUzam6ZNQkv49Vj1Q1xXmbexVbN8Az6qX/gw1gdV+jIlq8MX
HeLFibR8VC0cQ/iUG3bfRxRLWiLLZoSbZdq8O7AOQa2wBDTIBJJZeUFbP18Y490ZaQZ9WDocmRNB
7UEgFYgJSNVQlwpAjhurctcyrlI8muXmmgXun3egjViUS3k5KqS/rJGawUdXfOKa44dSKeeIA9NA
Kd5K8ftSxYjmyLZVSI2k75h71rTDU2WitIlYLGiUYCYuqbDJnC3XxXo2NeUllZ8mr1MfspjbIant
+vzxm3DkmYQC4AehTkkJPND9Z8o0njPkxJJyR8ebMnjyzHe4f7EygBBRsbrncpHd748LfRjwwCU1
w4AlMEVyD1mWvgmjEi1KGy+L6+VL6Q9s7uoDpLb6R1OmgAhOOaaQNwWDYHf/fHVgzajWck15kbuX
tC7GA22a5lVZOX5hqlzdrJSRq8fP99DDN6HAkgHlAfmDbue/c/Exy0zTK1BqrkCLGWmKK7t6f1Et
HW/iulH5hUEM0bjS4/JsIN16IvY+TF4glwFggsRCgaXYwSbbCV4MZb6myI0myaBSvjay9b8FV5ET
oh6GUgqIUAgCpgQN70m0rug2PLYu6Vxx86luTP62Gelvjyv04XkY9HGQgOvHKVV6Z8UujNZaBUIC
Gt2rHvPuELUZ/Vg6d4pXeOibIAqqAIQY0G6A8u7bLiyZm3FWLCkeXXUpPOtwHOEcYravaJLli1Y/
nIy2DIkQFluugIbsTiKcqx3RsKRGYXRBXR89JWHiJ0LeQzttUr6WW0wiANU7Kci6kXYVXPSonFNc
8D5Zi7o8e9xQR6UAPtYCAyVF8M7x1nHKw5z7Ja0wYJfaF+J6LOx8wueO2AhD9kAQQzZSRu7uVzmi
Cdg1BUCRzOSybXtxWUem/5WxLEsxwvSE7o64H1bARwPDyDZqfAeY5nIs6pyDvFrl0RUtokjHjlWN
jOt5PpUejx1OMWgag5UAbqudr/tqANbZR2MamSFLiwydF8h+Qah4Ad7TnAiPR+wFdRVUEluk2nLT
fa/AVjnRL2pIe9drqJkGlgxZP1487hVH9LfdJYwEYdBrQDv9teMEFGXEx7Rg9nNtcgZgh/42QEg6
/yuCoAPxtb2u904ejc5R3NExnca++bUPjU0C0F03Zh1/PCKBN0DncsvjAni7+4qLVD3lyqAxRRp3
L2jL6SGSUfdq7mZ6wkZkU899ELdx2/+WRe7LWllGrJJQdvedtDeT6yqXULnmc5I32Lykg5/EWR1h
7JNJu7UBGNXNw3nfSAB+dPGtTqShtY8H3k5rsgQyDEmDJzXFc+Pm5nWImu6z4xMh8VLWi0zrtS1l
+rhtvtIt+2MQAWAL/A16OmivMpcV2RS1U8oXiw5ZRv3TcR6G9wsMyBy4rvVBGhMVcc3W6Ib43Fws
knV/wRU3ZTKqFLBncod3xgUK2oW4KW0Z7s8tAZzbITGeA33ET4g6cpE3nAdIR22Rne+8fhm6lguI
5Glf9eXThlJmksVG3Y0jdYi7jPbiRJw6KhFaChxKVgQOs3MU3kjBpnKYUga0yWVOxXjhtGVVbEeD
n9Kyy148btMj4YMBUIH+DoAk6Nftw8fqFRh8CWmm2zZVemljS0RxwnOOHItBxgKTfQUBenv9Dpwa
KmaWKbCQ9kWH0iJU41VfFu5iRbl7Hvl1PCHvmKcyDIQH0K9QEvE9pqkLUgjSDnNqlzDFdunHs9WS
5mwqivb10lfRbU1DEaUKWogvc6f172oEEPQX7j1gOODoIRMA7cQ37d85t7WtqKhd5hSJAR9cWTaX
EXDqNqEsG29mVmXPaaOm64VkJGlFK+KhmFESopUBaTt2LypSI2AgFxavqq3PsuCzZJlsm1YGrmLc
9NCnWhUZT6TnI+F+60chqCqQwvxrPLvz3AvUL6hso5B2aslR3IhovtB1wC+aJoSPP+6B4PFwpTUF
uKt2Lq+DjRCqa9BR5swha7s+7mduz/6CFLjMCpp9SLB9mgyRVivpmhmY5M5cVL5orzo9Zaf8bkvt
uwgJ4VFoAIHQQ5d6HzGaLCCAICHFtRWfQtX7ManXTB9IaYS+RLXVY0KA2H2zmLppEoi26NnkUXWp
qfiCgqwvOCCSs0WW9gVnUzvFC7AcFzNG09vHNXL0UQHuA0ZhhPJ9iTPnnM1VC3oHkmO9XLq8vqms
KxK7GnMeKuLjEXfs98eFHnUsCY1XBFykwNtkwt0L0WvCp1a3c1oP5Ts3KpIg1IfY6rU+PC5pu1oP
LHFH0i7keGA4C9SCpGZqXNosRfU0W6twggk5fh4GhTAXVIl9RhwHYQ1QcXPaKmVjZ0dUx/mwws0k
uihPhJOjR1IK7iX4L7RMd85VlGbsowBBrQwlPlta1MXOo+7EkY5J2XhTKeA6Avm3Q6+9nCFhcD+n
LITxgJdsjMtuXk4kumOKuytll3dKjHyPaQeOAHXcq7HlUzrM7fKWdSYsJ/R2hJZmjG4ULTidBt3t
FBcwW1BhhwBuMIbUMjUVcdT4cDXZWr0LTuOrmSr3fu5Q9YaUPLoxw5hfs3pR4lSE2DDS3i+hcwb+
rxB0IcXOLycBMD5iPqQLwRVE+jk/1Ch7N2PpzjPRfJlonjZjbq/ywa+xmHN7tqj8hPaP2hjIIg3Y
BqZb5c7GxWgyNK9zSJ3uuws+4SFue1+fyCJ4C937s0JfC4sNrAErvtO77JhqZQsq987K67W25csS
sOszyLVepcSI4Sr3Vh6KpWx+j9RQJwZL9Z4ApXe7TEAJnXCEY05393l2+JV1pQxsDiFVRq3x6EAB
0M/oDi0Rf+WuMg1JACh6AkMOOw2XJcASaIVAIljoEAfDlrTuSnsiyG23ZK9gGPXaOEmoNrmm8Pqd
PO3GoCYespAWgNnHOF/rksVh6z29ZKism3TSVXeDFg9MFTVFW/4FP4I+DwEWGAAkpJL78qFna+Vq
eUjbTNdX/VS4pCtr9+vjofxIHwJuCoxZAZaCP2zfySF9Vo6DAtLD0SW7rQi3eSrXMXq9TJpf43b2
dTIXk38GE/rZR17qOYvtBMMxl+uAo3eBeAadCBNBYzevs7o6oYVjmRR0uk0USCDF6U4LfdmjuZxQ
ADID0YvaoiVGYZAvVqXqC9HyNmas5q8fV8oWJ/am33Al2xghrPadRGvHnJQ1xLSlrfJDnvkXY9QW
ySj4b3iITmCFY/ECRt1hDAwQFLSDdkGLtKOY0QLXBRrG5Ir2aohRwce/kHlgXlFRIPUlTLlt1/eO
N0+45LLOQY90Fgc7NPWLdZjcq8f1duzKSEG23hm022F2/L6QnC0VQGzoD1SS+rdm0PhZrVZ/1URu
+GAipg+FoT7WKOATxztmMQlTDFpIDX3SPS8JDbqpaGFGKKU2ssBDuuyq7yKcHWpR4iyuUV2+efys
R80mBbCuwGPDsMYu3vUtGSd4ojkNQeuU05Kl0ZQXZ49LORZV4UQwSceB7gIadKfRzBEVcjynxtT4
GfWzvoJWzHCJhnI+cdOOGU/B3BMMtgJFBAOm90VVjomI43JJlaXhWakJe2Pk0FzMzkaHGsx+aaM8
vG+IoX9BlUC5oo0WhbTJdjegQ9JDhzQCvELn/G3edjSp64ad6OUcMxhwGsBHQSUkofi8f761KkQ+
VRQCnc/atNahpnEgrf4rcVtJmP6FvQowm96e485N6yAJN6KDunTVMz7ooJdzsXR9+rhjHIuL0LQE
IAkTPKC0nc56Cx7p2DynnJnwdMxNlR3CiIF5RdqJ1C11lBpUhRMzLkeLfw3pCERL6NXtvaRrBjsg
DNgyjAyFmDe9fGGGxb+B4CguzDRPlx5GQM/XtpieB501L6q1//D42Y9iTg0QBXgVYHKAYLmvYrZi
3+IZbkUVDDmrsJ7OJ4G628Kb/HxZG/YJkZX+BnWCT+bKD3lsi4G/sFWxnkA9x5zq7pPsIl7RCNGV
2QqAXnTjNW4yclZo159olR+RAjPjkBuAMwBqfw8FeDcwm/MW4PU6lVk8WbpW8Vx1+IR1j8gBzAro
Gfh8QAX7xm9XY9LVfsApz3x9MxftdO6gu3NCZ0dcF5q8BBpjkF2hNbZLRQ1qesdphlOmIgdBUywf
67pszh3M50AT0PIsJjDvcP6402jwiV1OB3dlQMfB1hmHfu59nylI1jc2q3Aa+oy8HEuZnWmC56Qk
DUlGs7irtZj7BJlsSday69CJUx+J5DAmA6wjDLVvI0O7U7vMZWVmLU41HtGLGgqhg2zc8kqG6Mvj
Jz0qCUgxgIzQAQKHuX9SpfFqK7XCSJBXy3XPxv6wln30CtHhVM444jAwKaMgNUESVDC1eF9UHoou
mFzhdIHxsniWIiSkzUz6+IGOZCYFlRsMWAjgUoD/uS9FOW6c4wyntpcwyaSFz97ZQo1dapqoLIGV
H7JnGeGendmmKZsTifEYRL4nf3OtOxFdlD4Tg85JalzvvqB6HJ9PjAyHNddmStqaNed0DPWBRdLD
yoCa8bk2gr0leXStzHBoc9Unlln/8XG9HNW+RtvMHYBfKITuP1doprVogaRNs7buYbBuqVK5CHLi
+N/GYO5fHcDdMIkCdQi0zKEUui8HyTHoyNsRRjFWGS7ksvbvV0pihtff6NIkZaVcec4nBf2xZu6z
163s2jL1ONMwBTya5pmNoKGSDK2h0YVb8cBfj7mL7HOIRs3TeVxtgIpxYiKeeqvQVV/rbIgXNStx
aSkpurPcOWlTYW3enbVlrz+YuctdXDvT8niIFn5dmmxeLtZ1XKCoHzyxN3WWLTB6qCEXx6FZohze
Hi3leW1gogo0ZWGtJXczDJCgAsrpFBPrYcbFYxHPTnl9wKHK1xg3rFIHvRh7s/BufRPatQBWrVlB
/qx6XcRqYsEeVHBmuCoDrDAnOaxYNNDEKCMD39IOVUyCBL4MjWWw8TKamqS9LtvfnFtHctFwmjdn
HgOtlmRdweXBTTBsE3viO3Ve4aXMoCPTblsoWaDifAqFPC9kpKsr5Ua/XJQwcNnD5CG0q6499ZVN
YX7H2mRinXhlZlhvSdk8hChulc5D0gITXiatz3n5htp85m9K5deXhIfFATc+rzSGuivqz7IxB8YI
YKGc4zwn+TsCZAMsA9Gpf9r2Ufeec09tTKS76hYY+48Dzrs2qUJGXzVAXZQw37700VU0AV6KtR/X
i44ZjuPCLnqJoQ2uZMItLabrioxWxvnk/a+e52xIsSqBrrYDNJTPq1GURVIbI28KIZ2OmVnJfO7z
Gb0jti6WeOAlfZbbJStinUGsvwTip6CJHIgniZizqr/pYaWInNUw1l+nho79taYG5uvKrFqzVI+y
RQk2k+wvJoW68TmRTfTWdNP03i3lWCYyQNfgWo2N+H0Bj70VqgnPHW66a1WvNbSfUSAxVDpInJVT
EV4jVus2LpgLV7JVsOEBMzZ4SLBth0HDba3nHFzcqmdo8Dq6CLm282+jUgOPi4XQNQ7DMEXw36ou
0mpC9MvcsCiLI0SL8yly0Zc2B8olhtWaIpyFvgGPRU21/ArBstKHtVnrd7xuqihuLJAlCRCC2Yei
6NQlzfP6c+td/iLgeSqeGyvZuzLviwFGbhgmcciyDKWKUePAY2qY1K31QPskWF/5y1ou3sUVX/J3
zYRcCZMSwbQvZrJGZapG6AAlq87dJy6zto3Lqmm62Mhu+jDkWegu+kHV5UEWlr/LoipM57AmbkgC
bST6vMxmzaHROWdnGczTRIeh0quPM7bApZyauh4PrNQdOkgnK5uQaNXPS1tFKo4MPEjOJbdxBUar
4kgv+JODUudZo+n0u3UoihISeJ7HXJXsXQ7T/DZWslsDuECRl+kMMyjuALNSWF3qqBxQmmsFgK7R
kaCJ92v+gsBdtklvYSQlmQysGiTKzE0U46JqLjXLGYvzrqHQjnJjB5y1IEMWV3Ovp5jYovIvx4hA
A3nO8pGlPSqbLg2KT8VTQaLAk3x1WsQqytwIzz85G/eeZi6F0qV5TwLyOh6nui3OF+3gdhKUqRrG
vidTXrggRhf3JB+rFEh52CLJGzPAYJemzct5VvxVlIWenPXV6mpocouA4zUr85DWo++b2MAM7gIB
BxiKGKb0o5eYt2U4n4Vb7NYKE+tVPfkGF2ndBw0zvyP3si7jaI4M9r/DmFwzRy9RFFaxxgOieVS9
aedSiRzObwi01v6r6WHPTsGUVDr5vHkG3Jd+xSEUvebERUCn9dofRC6qq6KvitjikENgifrE9ZK8
WTJcwMvauzfSNB14VNVGzQmM+GAgVMGsB3SWYFsACHoYoNnViBaGG6dm1iwthH0F6qphuMkscelQ
lbaTAWDauD6lpvwEWalMxiKSSQsDubFmEGy60b/5muH/WFF/8S3Jflv9/Nh2i8tt9sdvyfjzn/98
+v1Xb3zdbP/3z7ffs/Hvfz3vPjevBvf58/D0ttu/c5P351v/vf++bcj+uci727j99hs7/pt13Edf
/M92db+ytv/9ru69zfVt6/Xr+/9YziVPoCcES/GwsQkgFxYo/1zORU8kdFVhQJ5sbRx4x93l3G1S
HcZ8YUgOkMw2Xvp9OZc9AWQDm4oaZp8EbC+o/63lXCjGQTIUx3TbfyTkPliSrI4CtEE98PIde4pl
XVzliLz8QeQHpDSsV0EDE2YktsGr+0LGdikjxWFCO1QRv+IOpjP6fjGXj0vZOIR7uA+kCASLajDs
h7ea6b6UQvmohfobdjZ7g65nkb/OuLNn+RRVZy2CpaHHxW1f90AczDCC6qDUhTWh++LMbCOg92aX
mqG8HSXMnlinu3RVC8wYZjwkBV7yH51F3Y6ooMcILC+HrsGutGgHg5aOIpBZTdVN0Vt9OZRuOZCB
Tuk6TS2AH3rBGVsuC+5/uFG39RZANEyIMmgU78eLpwWXpq5Auu5hXSeEqU6nDvkkU4M9cdAHRSEH
QghkiM3DN++5r9zcmrGaPAzp2X6BX0GDbHcG8dYlfFiWE+Xat8GW+5YE7gsmyMEFgZ0BivS+sLpt
jPe5atKqm1lI+nasr3Ii7ascQxvuEJnGfVDIBh/nPcV5sqgwXlZ8rD9UvaHnE89CERdVwZ/2y2Te
EqGAsQMUln9RlaIwltXI97DT2qasm9GZISopCGxX5Y6iIu5aU2fJ2nn/flkr+45NZvoAVHD+2ggJ
K6q8XEecGDNAgieVh7Ejb6B4PGTQvWrPlHVrUmOGbjLFc5OI1Qw3sIcnmhgKaQbwuIjWt7C1hz+a
1Y3sMOm88vBTMs/xlBH9ZW5zHSWi90uR9r23A2w/CXMtCwyLK5NWT3VB7a0ZnX4LZYr5Ils7VclY
dc2nMHY9vgyF5zgdAPe9yQGbVqnCDaRRN65vYGNEvV74wt5krqVV3Bgxw0yiJKuAhMmi3wqFl49k
mXCe1jwU+KKFoe5nuQjREteFxFAsD1nVHKyIoJ7jaso4fAmfh5jOwA40MIc9pHwQcoqZWP0Yownl
tx4aQig1IkN9zIOIrketamj8d8PysRON/YwgTz+dyqIfz5Hrs/ewFpG/RiH3EsAEF6/XgYYxHQtZ
fVJ5oBl8uUZPYUiof0aKZT0MEtk6trluknXNsudu0Oiq7ggbYxZFURU7p+Ymhm7dVCZBrJGIIzqE
swlKqQqWrTBfk8kt6cihwOzrSjzD1PsZYGuhP+kagFeOUN6dI5IVVdxWrn8aZWsGvGC1NiPUXGvx
1oydKA5wJqMPoWhgdNoXTX4L6zlQl9YwNnNd0sGZM7xMDiVL083PAXpJf5gwqw8ot2S9yARrYbW8
l2nULmN5MYR5/bTURQOzhMs6+GTE1ZLFAL/mL5Ny7faLE5ZbX7vpXYTcCluRzcpJDDHZ98mMO/Fe
8Z4s8eTaaUwKOZF3sisqwPK4qs/ydhCXU+fUuc3y6fdRDfRXhzqf5u06fYG1tCK1AXtAmv+LvS/p
kVtX1vwrjd7rQhI1bhp4GnKqrKy5yvZGKJdtUiJFURNF6df3J9/zGq4sPyf8etOLPrg4m+tjpigq
GBHfEEzad+7o9PIC7PJTfPX+S4+h9sM1DJwUSuborDWgxqUhgzdDxNNC1If8FHTZ7RQ/Seom8Why
8OyT3sd2jEEyygfVvk3kqhd12sYnPz6a+maq2mwmUHo8DnMuXGtjerH9/1nUMK9Z0Sq5/6+TqHcG
Zf/5x/+dQ5HgXxEaaWgRutDaIEoj0/23wYnr/QsmJoDv4PsBTtfPm+IfgxPi/Gu9PJDZAHOAI9F6
X/1nDuXALApwKZh4KyUQl8zf5FDr/fDLqYJWF2ABMEQPyRhBQn6WCUQWvujOg9ZnQjUSGeC+jTio
liVVqxJP9Ju2fPxlY/7Js/9gqfLvFWO0ZrEqRCHBGfilahaxbgF5kIfRFbEbNIku8UJ+tuM+PFUc
AOgCzSiGrcn7WzFwgbgWcURTlVX7ZUyFmwU/ikO5K5Mbk3zHkyZj8NYlB5XGFzK5c9hmfT7glMAj
8faQNP4sfH5pYc7CAS1aFjQtujfW34iCJCxQVypQCaVWBqJc7TZpPV9oRX9cN1olPoAtoAcO1hT7
/TOX4zgzDpeLVA4k40WztTrn1NDoKiC5T2huKnXnCn8bBRcwovWIvNtsKGUDhwDyxqW+itneLzxE
VkPn2UWXy2uKxOgOt0eocqH1Y0PIlIVOcUlD8uHUYskY2TK2GNIOEFPeL1lqP6rpiCV7NX/tjdGH
sEJpyEbrVtvhUxd78X1fX2Su/WZZMPtg4YYMFnnsOSJnG92GTVmxtFlo5aAD534Fma3PC8P3Ewfg
Hx+8KbTe/vKDWUlyKKQA4UDA+eHFtuhVtnymVSpAuCK41wbxMouoNps/r3NWg6xMAhwgQDYgscLu
6BxhCKgIOvQnqrToRQKXlo1xedLY8mpCX+LPS52lyFgK6Br0YACHQTiE4Pj9+wuoRu8bivlUwtah
XE7GRbD5S8Dwn0ViVFQRKIAIA+8XUYsQjWOhz1t25aYcQmSfk9H5f+NJUBnC2wcgG5gz7xepTV11
oyZV2rGm2FjaqMQs6pVU9iVS7u/2DJSBVQG+0rHOsSZaxZWLbxzHgNkp4jZ6/HCsiKwLD3SGdPzc
NVT7uKpAp8UNdNaXCZsKej4FCg512WPoQ+Qm1IUlzlGef6+Br8jFpQhk+XzTULWPChLUKtW906W8
IO6tKNpmh9zrYbHrjMop5hksb3RGrBgdt3juUleO9j0EE46bmsEfclPMzYUf9ptnx0eG7QUCjErn
fItNqfoFRF6e8kWGNBnqYtrUTVTc//WZWQnRHgQ7ALs+sG0hkCG0p1GVLj76bhTZL9JuiNAvfGQf
b0EUhcgTcL3HEThs5zftYCtn6MuBp8RMX7s4hIYfLUA7FnCoWkFR126+x2ETfPZrSNxZEwBmcdux
P5S+zY8tbcudVxl/33oqHcOR/BhG0iWTAKQD3w3725935eM1ghIW/Eq0BAn4KeceXUEIfQi6SdiV
+UGYb2FxEql7N19iwJw3HtfDB9bUWqGDhIka/Sz2OPGiY24IT30dHEal14Z+bU4R/BysVHa9Rhu0
B9k0mV0zBSjWut3I3TEHiEa3s8WbILdFeyH2frxZkBqCybImfWjHnN8sNRyj7HnscYeCUxWhEXxr
Yv3Kh93o74d6snaydaz0zxv+m4ACqHc1HYDkE9t+thGBVUvcKg5PWy/MmykSCSvloWiGC/2Q868K
hELc0QiRax8NKrSziFI5luuMNV6sgujoJmakyEZwGS+scn57na+y/opf0q6FA/GsJcO327RuxggN
U9EswZWrSZuLuhsvvLHz3Ttfb/3/f1mP2XFJtcZT+d2151wt7bPzt3Hi5xLwG0WbDtn+B38s6NJH
VOdYIhbHQC4JRJ9J410SpjtrsvRr/oZlwNVYJdPgMMDH8CyZcmFMxytp44Pw6XTsiRVsgeuYzzpk
+mTbXf/a9729KReQT2tz2zuIWkszAiz683k8DwA/fwd4d9CpAa/88LhGzI4EjYKntGdbLf0uiaAU
SJjt54Nr67yKmwtn5mdA//DoSEQQJeEp85G/4U/EtyUaHV44mq2n6uKuHtH9KAJ0fJZSVw9FH/uw
zShQ2aNNCXMEd2M4u+UOValdnRbZ7kh4B0Va+4jW7QWS0G/OGLhB0Pog7q2k/7Mz5i/eqlGd8POK
qX+zIsI3zdpJdIvCXPKgvLTW+n39cp7bCNJRt0JYnFt0CW3yLZjjjSmbC4+0BpUPO/7LI53lS3ZQ
g+e9IHOfaBwdqVQHjtbfFHg3c1zerwKyZGjG17CDPcufj9dvwhAoj2vljFwNufvZykvJB98igC79
wBpBOwj4FRifl4Ldx68J14oLeAPF0PqY55JwXI72QEsXaU3N0Cet692Msi/xAXn7Kth0FX1qJrqL
C3nQI9uKmF0ITB8KQaTuMFoHNRe2JmB1rMjMr2+SWnVnlsjrUkPpt3DwToKIB7uxy2Ss2Y3TDY82
rEb7EjZW3SUc48MpOlv77MQOjY5t3usu7cjbBGjYBRXERJdcRM8VGXCPfP+IZ4fVgVFKO6GNkLbT
nIfhuAut8nVAiyUJXHUIappzPe9bMcK3BJ4mWkrI8ftLfp8fAtb6KyA8AWsdbG//vMDgYQuXyR6v
euDVbcv0AVyU3HKqByKKvGigc/7zCf7demscAHCDWAn13/sXG4XFzIkBlYZB54GQsTVGZgHOVOBv
DPCTP6/2200GqIanAw0SHMIzQjSzNBgiFO8SKPSOqfLAfH3Xx+VBeu2dU8XXKuhU4izhUZWFm6g5
gmq7uxSjzzOj9VWD0GHj31D6oNn//qE5iBfwEnNgEsGkNz6ij48YtVh9eGNxgATPEnww9SA80rQb
I7Ty7/+8DR/CBgphqMcQMNDOwaaeZS+yN9YCdkiLmmA6YpdpogP2lx2UtdhevW/AmVjpkuftjKaC
Aa9rbKhOjPjs+2NKIZCOhvg+sJtPQ3EJC/vtI/2ynPt+SyfOyMIoRC6VVY4JCIsHWOk9/Hnb1i/w
XZw/e6SzbTPR6sLnLN16s/pJMAE/lWGuoUxYY0L658Xgr/shiUFhDEcMxFv0oZDQnH0bhW9FTNTM
AhGktVPTQ5aW+aNjdT/GJZjhwQvmipX1gcWLHJ51zUOD0hN8tgA4RqLgojovCeS0fpBGUaVuIoB4
7IXRyBensnJkCNLVKrpOhtlfHtwlNCcB40ZYBtjhFVnshX/p+7ZgWTB4zc3UoJoAPaVoAEBUFXAQ
B3jgjndtdxuFcw2CQVS6N4WtO/60ckgdhI1xOU4mvg+rKsr70Aqf4Itd300um6Jj6fZTtJvBDfzs
xLCN3/ZT39x1dkNSmC0ERRIs2jyDFaWRkgDFvfEgRd4bcDxzuwXwVeJi/UQFVddu44SnKvRVAtqN
2nmc/wCxbPH2PTcxzAC048wpZQttM9MELB06KLDyWVAabGcXJSL8Giy33RYSMOrcxfxV8KjblDBO
PEj0Rqdc+zZD87Nn+pOtYndI+kIeQeChEdhAaukOeijJLR+qjQBl52ryi+IAdzC9EdzrUX92wYtt
8aXb+bNjH21wAu9iU5NsrpaHgDfDqYWV935aWO9mvIs2/cg2RVvJYu/0cZjC+Rj0/EmyYWc1RTN9
7X0x1ykMU4FhjSC71aQMbzo9uLdDwdWY135NNiPeKDRu1jI+0EK6T/5g+gktqVL5GRg9cb3XkVyu
HA6yMgdZBRtX50NjjWVida1JCHyFb6d6PkxeNaQAupI2ststtHLhp6AR/Y/OHkgOOOva6ambggqV
MXtub2u4TSU4mSvH3PyIghoZPuMg+9hMWkXS1lvlzwfXBp9wEV7wTdWg3cFbkya8AlwJlUiQh0uo
+tT1KDm1tctvndCy7/C+hhtTlrZzHbfLV99elsTGS6NJSQX22ZMBCGPIqEksfxANYaxdRbdQG8Ol
2RpSWrE6mRrPTWVrg7HWL19DUgafK0Hk0eknlRdy/YElV3vdBGpfNuHipAG19q5yfyjidX7KJ9Ym
NS9zRU0yhnFiCf5UGSqSQDX7SAMoZaN3X7Dv8dxHMrHpbH0yfnMzN3jHCEwOMC7yuJAOPnHLrA6h
qnWKP2TtQIybDrBYsRNrKaIrhT/qF2p0b8q4n1GdNGCWj6zJJZhmm8rRN/Dfc9M+mJ3dVKO2F9MV
uGL5IuxHQVoN678KaIFP17aX1kkLdcwX2SN56f16TE3RvoG5UOVtKdQ1HDqWA1InfiPwhX2bzGgv
KQmYdyi6L9C+XKEx50xpPEgafwrNDNlkfSOG5an2P6lilY5MTw2Oh7xzI2YasFlHuZGiHHesj2Gs
Y3HJHyYLgE1iO637MNo/vMUVmQ1KQcDiLBLs8+K6r2D6Io917A6mkL2d4dUPjxytrau+6sVTX3hl
5sDrNUePnPHDgNDW6pIlI+hsoxW4b31pBZuyhWl1TREVcmrqxObONcg0ORUgBbMJhh2x/z3UJYBE
/yAZ3YBzmy9Djw+IezmLAlPnWvgDTSAD0SlxmjqNhuYZODv8e2HMlDgzjHunqsvLGvLGWECnukzL
FgZJOy/qc7nEe1Z7iWfHX/zR3UDgvtoypjCl32hPproaX0zIwRsusRzYmY4Yvo01xXCf2d6BQJzD
3TkPzLhT464iJgGZLpkglwFVL8NFkOimmYadVgF5acHBzKTsPyGOgdoubH2wZ3pAsduhylx+BNGQ
eiUIb0qEz4My+gQGLLw34GGWtAs3arPaTX117GlCEuDeWDgXB6/zlmubk6DdlBUBLxUuWvFG07F/
66v2LaL+3WILsYvAc6uToahh8weH4VxbsMXNAxk9EIo33fseu6nGxWqSaFqWzdjBRsrwYcH7hltW
0syufQuptUg9CAC+LktY7PVcfAOHGkY1VAfPtqRitxB27cniODDrWfreJ+hKUhWBtEuj6DYg0uRh
T3YUtPJbn+v2vrVCksSxQXiV1lSmtDUtzhMdY2fvtw4sfLvZeHd1jAahYwog9SxuvWQOcT8soniB
Da6bFtFYibyW7WQOBQqbbazptjD4vIvFGn94tRptiKPLmT3KQc63xOZma1m1daSBKILt0tfhFSxt
mZXN0RKlZV971wJmePjk6DGKGivrOmB5PfrdrALDHLTWZHGct340L7Y2gToAUPDyUU/FWxzOpk0K
Yy/bxfdvBakVKvaaZxNXp5I08xZpbWZBzoV6IYv4fAD5LRGdyofVyAJW/ameWToqeD+WoWuDcNgV
Ptp/Y9SkUIjbLyCgNt7BFrLz7ntKyPfOgeVKoGAzgBw2t7vgmtjsGi2SbV/0OXj86UKToj2V+lT2
aOmpOEgrwZq9EF7XpxP6Lm5SBe19N3fjQbBu8hPQOmt8N1H1KaJsFocelHsn8fyWJqw2VdLNsRH4
oPGJ+kXrdvvO31eUdM+x4aCpQeacjLZ02zSSUsRXhoK20aJDkeAw21U69DZP5IxODvqkQcIYCBUT
XR4jPTZ4QNUOT0s3afScOqyWwl1H5qtIelfQMYQWzHmjNpFvPdgPfQqD8E+IVK9oQis0zQevz2IT
z3cUTNvdEtTtSaxOr1lf2KYEBWgmJ4uIukkcasCCpzGfxMo5chNTRY1KZqeAQ6uxmmsTznYGS6vq
yeJdMyW1rswOXoWggqKRwBNj+125c9sQJNyOxvRULW30pe0U6LSxv8S4UnxDM7ePQICaHAnltIYf
s58Kv3mJpYE5cvCpD1WQEWGFU+Jqcxxca++r9sFETvOlDP1hK7yl3ajAckLs3jTlQzlNpzqo51sm
Qxhl2PELqYb2WoXWzshmYmAd+/U2VBx8+HqmN45pmjINEaktAl8pRxf1krjNoja2rJ96vwLa0U6w
FJqhcbge6hJkdvgMfoJDKRIUqH4QQ+t2pwYJzr3rL5+9eT5J00fVLqBkxyIFnQAtBQB83dwOUzQc
C26qt3omMrNlPEVoGZm7wiu2oW6uMCiivYdbd5nBHgfup8zju3pk7CijaT8wSBLRaqT5stSfu2rc
w4G4Y3nL7+oiepRK9jdxEb7UVgm3Vkk2i68gxTHGB+CN5qTlcV1/ogt25Ur0mm/BEPdTxLTi1HMv
3HmLvoFL+EPEfUhD5xH5oYbqPFEyqO+Jo3WZcHxLSYMU2Epi4d1XrQuOeWDZB29uuqvIZf0nMZt7
Kpw7UpgXaybbKRQD3QmBkCOG3CeyKfE30uCVTwvRedERUifcdqpbUuKyGYp9t3j6thyavkgq3yri
hEey+zox2b4MRdTdKyS+N20vh3TqF/U4LupqtjSoWM2k7ssy1pk7DFvChzBrGsV/LPDHG4vOfFIK
1txJWKJZ2wrvmfkVlKO2+xqO5fe6XsyRuYaqPC794tCF43VZudPWMXiIRrr2BkTxZ0JgYtXxsc4m
Y/Gk0IIm4ySuqN/4N5BWulvf5+BraaTj/VyeqG0fh87N48XBxRb200O7sDarSmNAG1dhVjXla9Cx
NNAq/NGFAZoFg6I39RgdgpLnKgo2KE7TAFi2NzbWdgCDLhctaY6TQ+RON7HegBnY7zB3R+IejsCj
tKArSCaEgcxSy/o9pg0LbmcTJ5q77XUoAogTZt5WiW/qYRtz1LeTEri4XUC/+orAQoelpiu2gYGS
SjjDD8gg0fC1567tk8bY9RY0sJmmIYqSN0hWoHnxJzf1WjZ9gW00pOAl/Rq4RidjQSkS5/4+jpsv
sp1ZruG2Vx/brpsSxJB5WE26+b4bnfG6VUiyMJTR3MSdpFnkK9NAShqYBMa4mmcltykAMvQLk7hg
OldOsGk9wEBeiXgK1mwHwthSyB8uYda+MyrOddVCuRFiWMaQVwRRtY7BbIWCroFjUm0DEh6q3Cn7
r3IG4DkU5QuHni2pJmRUc9kiiHOm1UaA5bgDeZNnADJKDZNq8yy9mCdeY52o4T+ghO/uqmCQYkOm
WNyUJa7J3YAwytJynJCHOgPaMFkwtQ3N8OHI1wWa+faAqrmgV3r1jjoa6c5Lg8SeyHrH4fZ8Hxcr
RQMlJoWNkhOBI1kWQ8138QRzETj8tZAeJzHuzOEaXg2gC6eFiYcsVhy/bXZiHtx36N6QDRAX7WTl
bGMQiiHCPSgFz5pbcMxlkVoMXjU77dWRn3TVYGUsDJx8FDOZX8oOflQp9Sf8gMqK+wT4DU3UEIUJ
H2QMwiJ8cYoXt4Hb4db2oK/YOpApdAkZQ/XaBgUEHBV8yZAe+TC/mcEWFPlk5vkJ/X1Otq2a4+/U
5XrItBeqo64Iuw1hcfkQB3T8PLp+AabmMjNzVJWeDviTjvVlohGttxXromdWL3oG/VEY8rUsVXyL
sqNBVFYVITdISMLpmY2uzAswK12MA7Dm6FlbVBY3TIEMnFBlwvJYjX1ATw2ZbT9DeFIISbVKcCUN
R9UwBwYA0/0km2VvydbHs3Tfu9V9gPkYXpWoGoVWAuy7IweIeNv4pZF6HK/QjhYytRSJt5z78bZE
PjbszFIOGRo8MnGVT3mOy7sIcBrj0+wN0zUw+NfJqa6k5QzQdrbwyXIs+B8miGz8bepo91TC4v+o
ulmg5HIkwuDoQVnVDJ55KjXxISdSxaMVP5RldyiDBoV4haiypCooUtwkG1x8SrNTw0Am876XtH3o
qg0pDhhb4R5RmtMDblMNHyNUsfbWse98jrLYUFuYvO4IPMQYRDV+SssJBZvVOxnIwx2uYBBkexeG
ycW8RO1GwpJOR2SRGTb6JMriipR+ruz5inQvXvhlXuJ06ZxyU5C5OVEwl8Vd10EItavqdILv3IJz
dxqY39wp6cOQ5RYLNp8m11GbSVdfeIV0ny4OSq3rpXjposwKVOqZq7kfi4xVPjp0VQcBX+V9RcPD
Sic9e2UiO3lUfXlkrT1cD6jqgihRFnYpmIYxcYquTC0zQBBV2lttFvt7D9QA3jf+UoQprIe7R4Fa
wOf48GYAUrq7WkU09zCTaJ8nt32CFo4E3TEcG4HbUuFvh+lZhXrbGryjSwYl7BSz0DJa2zl3nVPQ
VlQinAc/Z19NzNkImxc3ZRDMCaRMLEPFXiUjkj1mfXUDlgQSVOVgWFIbQVYuY1JJlcLhKBkcJ5+0
DBDdhUpLXab2hOwQOxQS4YAU7tV7P15akZddUFuA1coYAY6WbZfKgN3Ndk2sjdc1bLiufesAyeSX
eJnNW0gFzxrXUjyhE4lYigOJ4iaUwavkmOO0kw2aMh368fIY8XLoNpaBF4OLbw4OQRh00thi7k+U
twUaOqQA4YdB+AVhEYLB2IYeeK/mio+URUko1WfD7T3mD0xI4bzRTHlDceJP1uzMSTuuAxaiWuVT
6H3vPbKtw/5laFGF7ep6YCFaVizIQsCVJ0dKAuGf3+Qc38kjclJ6P8Rq44vAozlmJ/h710ELapls
chPNPfzkhUXbKCFtrc2jFzRegtZXm5ZOVMBkCjxnmw6PJpAq+Do6dnGsOLSb01L6KcHNnLogLhMI
BXvEO7lhoSys/ehb15z3zqZh3WFq9Akc7bXzFh9GS6nTaHu5bGyox6G6hVR0WLSi2Qi5KQXHCzTx
EQfH50ew9pchG6iFI7VI/1q1HTjbSBtenWKqTDoj0z6EsnbRT+Bg3KGZYCwMFBDmBi7xiIpRuaAO
C5sfmPQmqjsJcfxDXAAXSp1+wYA3W1gvDa/Y0VihLW+4tGdkeYMpIAduO7dIOhfucElYgIN/0H5v
HwkoVlFeFE0vkS0wnDJBl4xrJLgbju5Fk8QLl4+Mx9N+YQF7gR93JY89cxsrjbhoXVDwXT7dzIWm
1XaBKnA+OIo+In2arTyGjm5IYO/h/bD5XE95z1EfasutshEN030s3eGt8ILpscel/w0SEm5tdWTV
d4sIoTa2dOFkXHHY/7m9Z9ZQU4M0u4BLwqjYxvCYfePTYF/FTkV3xaLDIS340JAgEWDC7OEO6+Qz
XBz8aFP1oWnlBr1rVfv3aggxdwNJ0xLjvkuaUaEa/YxRgR4qL8szvUIFBd96dKnskYIF5GxYseCv
AG7LLWvcLkEBVJsphcaAL0t2ixzKe0JP/Jb0i9zxmpCr2e79G1OjMHJGYmW4Qyd4xA9CPFYaJwt9
Cafp09rWkYf6rK783AXvPAx2RtgwJOAQ7LlLa71OUBiklu0Vok60mXzBE0SAeffnRv85qoDj95PR
FPgYmwC4/gySgukEJAvN1KU9Zs+UaH/NiOFB/FiYC6jPOeq0LgRQL3ACFx6CGM/xHiJxTTvEngZ8
AVRhSMPKVVCqVC+cBS8oWqcMYNQAApHXXEAyzqGZn+v64IsDpraJfe7vyUAIp5YA203XtYDAg/JT
PTfqAu/hHEhcV4EWC1My4SyDf51tIx2sgTGBbWRekBLppLR2280SRhtZB3o/aPuSvfc5LvxzxRW7
DOHWB4rdGYo3MD2TZgKWKOsba76Key8NoIf5+9MBYBRugMDdQS5cX+ovFAZklpB0lCtVsNyj7Yyq
K481SULcaX+/EKaPxsBFMaiCfPAdEq5Xw/AG4BZ6yNQqtpXk3YmPsr0vi2r/14vB1RQ27HDNB/Xy
nK9WGQte/Zj1lHoa1SFSD+TZfdOl+Hov7N8H7gLekg9cGXY02MJ1Vsz7DbTDaqagmOP0fYpvZLEJ
uqeizhUuB9mhX15uIn8fOJfO/G8+agQ5PCKoTlAFnD8gbIsptQvURaJnMmN9a79AxjylkosmK5rq
0jyg33xjIERC7BD4KCpA/Xn/lAxN2k7MOCYxp3CUWGxYxHpO/ue39vtFIJ11wTR0Ybj1fhHfRr4w
lfjEQgetiKHlfkagrb/wxn6zdTAlAdUDJD7YHJ+rN0YgrP1EsHUyuqn1vZy+eey+E89/fpafH86v
YC7OBZZBFIQaBUrfc3DVDoqaq9WyxxWAyir+3JfTK24/8HYEphBUtyD1bIgtmkSMRRJ20Y5XwdEN
xxStpydXYput3pvTuIlvw+nS1MXfbkIEwijg8xBUw7PYwoa6xxQjjBAtcPXulETLXs9K7jEe0UkJ
eEa7P2/HOYVpBZhhBgpjIbiBQYNwFj2dKSSNq/CVRH21jemciig6VXDKIOO8m+Zhg8kdXwcuPv15
2Y+PCaUu2Lyr3AFf/Lk1TInbv+Vhhw9f1VvcHJkZWOr3wT0Gdl44vL9dyoPODHazTgzpwfvDa2TL
XShmsRTawnAbssE3cTqU2RfuofVLe3+ucCGAGYqLDs5eeHvv14GNBqKoQhwlbYVRdnM2jAr48pJP
HcvmwVkz5AtfzAf6b4jEAQY+K2cHWjoEgvdrRlNAOivEzT7CQgreIM52YNBqogQCVG4/9Q7/3Df9
jgLXaG3UqxxdOzLcVxWwzD+/0A9Pv04BAgkcBHjMavxwi2jL6We+sj78Ek9L7poJlulFnZAOZZqA
U82FW+vDuV3Xg2Z/He4GA8xzG1sfOJfdNS5Qg1zcDldL0mZg+70M2z8/1ofkAsus0XUlnmPsZXj2
OcoADYQAdUOKdrhMIPPANK1ivle+9YgktEwjV2f/dyu6719pLAmGrALESwPxrRNQFcCIxSYAIaxh
U8F68M+rnfPrQB/ELHJcWFB5RWt8PztBoCq1A41wA6tmPDhBAa/IOlOoUdEeaejOXeINVdaGqX+m
Lv6VRcVjU+N/564Tv5pO/K/t92adwt6f/6H/B60pMFTgl83/MEb+4XX8Vv6P/+hev5av//Mfs4tV
XPnzP/vHocL/V4B/0PoARc2F2z9O/b/VlQReE2tUQWwBTc/BKKD/41BB3H9hGgBeInhtLsjV64DU
f9SVDsbRQ1GP3M4HLR5e/n8jrsRFfBbhULWhKMFsFgxmQUp6nvdSAKWYielZiWgd9NXRpq6/lx5u
xUx2oX8wPtTjbrcsNgx2wPJIHDS8nzEqu3b2GpLtddJuLX50tTM/UBqDqOJ6Q7UbI7faumzp0d23
GVgY4VSA2AGQFp5P4DBg/GeL8aRVR7/5GAe6h7vEk1wiP+3AOrhy6nmwUwLHoZeygn7alaX1rYg8
+z5U0tlMPvJlbPRnMhUQY9RowcQR0IcdXP1Iv1cdp6/GFcHnmXLg5mUo7qGEl1UCLwm+5xT3PF7J
Eb8bbVxImkFE7ZTr/4ATLtpAotMYnzFK79YvABkQ5AWpKsh0B39oCOvQnAnLlBSwQ+w9PZJExwyz
NvsBHTRmBmjsnGGpq71q68W7KnoTkgPnAtxWsEGrB5i+uHpL0PhVWdijzL5mGOS4bUjvXlfoKy1J
KUP/kz2EpXly/bGT+6WoxFVY9v33ggUCvARhIwkFMQO+S24rngxrSmiuHegWHjDRuaXTTsKkh7/x
FqNpNCBJPor6WfbtDEyoQAAP2m0ULV7xqMHEon7mK4VmUe5pPbb6x8QMsgvAeHaEmw+ckxojUazv
Tgwy0a3b+n6NAQsRSEJxLstibDorqyHJV/a1qeGmVGOwQVXSU2mNAvAJjreF9k1G3WDk3EsxGzV2
rqsoknDH02NXwgfNgybUlfb4bYI1AX4wTtA1DB/6bj+1I6Bo7VdNdIR5MOR+gIZ0ATKaCV4KPwJv
uQ+iFoNjFkMBoE5R/DqOPjp9Ddypr8JO+2hci8FbMIO2gxXSpkA2Zm80xmXCjAhN5XQciSuuB094
+j7wgN+mXg3uP1iObM7R66xnNDY6Hb/EMY8eIzhNnAJVsXFjs4HfhYGJ9D18IKS/nxDh++fJioLn
Yomrb7BBIt5N22j1xaAtWW6X0DKJNCXcqloTx1Nqmtq/jWA1APsgZdVlFrQ1Z0/9FP5v7s5kuW10
y/OvwribqopoZhETh0VVhElRkq3BsiXZmdogIAnGQEzEQBKo6Ije9EP0uld30bte9i7fpJ+kfx8p
ZBEgk5QE9M2MdEXdsC3nN+F85zvD//zPDBQANfzEfwfB8qkfazPKkXtdJz8JvcHwKZnbVj4eRAKf
psurYjmRopgEOgDyZPTJW86Kn1M8qau5DZrropBJa0EiRUdRfE2o26Yx7H20zQqs5eehLS1WwE8i
UEk4k6NTZZDHXyI/k+81LZdhjnXm+S8B7cpyyKQg35gklGOcLpZ0IRIRNukT+ZicFs6rYTbRtYVy
N3dynf5KNJ66d+1CBpQU5vbHOKRx5cmyG1k6MKblfDUFwrcsjN5wGS+nsULB6tiGiC/6ZLtEzc4T
37FXk9QTNB6BlYJ4lPQemD+IxYq7wI5sGcgJskjWfC6pn/3QIVPby2kDCfGd1590vUVOYn0Zkxr1
aErwMRo6/WISAzHPT+z5wPGn/qy/OHUkAQHX/dEIvBwhX+KKUt82oFdXz0PCrfASSgv11Idd8hc9
U9w8GQcjtQsqQpL5KLq0TC4sADPB2B04qln0I+UmklfypxG1G+T8rLn7YzBc9bLTpRd68GGN5Dyb
DMjGOidwnjnhJ0w8uqRbwDJOVvBonfu9LAqhG7cCeovn8s9FsQbmFMPwO4VZ2i8rKUt7gD76jnUi
BTmRt0jT6X+yHAxmi3HkAOEY819b9hR+b8WeBI46o2msmlmwVkT6SWFZ889F1h9976JYo/FyxB06
tVOi4pA1jnCi51KqT/yFPvfGPtk5wEXuvMB5WqmLgNihnzp97FFiuxPa8VrKaUoDFfp/pIXlXChJ
aA0+yvNRmMBP56hEp5KuPAxSQO464nOmZEtd7584XV/TT9NFbBeTrk78rjuGX1CKwckN+0A7iNX1
Fn2yTn1yw6gPoockyK1k+eDDzDMl06mQXM7kXgJP14nvhpEra2Po2Lp6hA8HCFsFJqf584U2Gy/n
nGnCJVkWav9aV8HGSKtxL+ghHQR1EzAdXfj0uuMZhzucOgr0JD68iSqInkC1oHOZK9o8nkH80527
E5lnUbqEvHYl96ZOJjHu1LZgpg9PczUJxqgd8hWyBgjQHXszy1+dDVWv8PVxjy6TA1JKlrXKsmlm
D5Tlha/ZOpgmR5n1V7ObrkriThtH6sifT91E6j5ptuJn43hpreaXUIuJrEMgPWhLiJ9uc0zYBO6W
LB+d0KEuuHXmFEwSusrABS19Le/DYuun5GSHoZVd6goA2HOX5Ed+rq2S5IenBcldl1zpapoqgz4o
uTjyTdu3PetUl/oJHIWFNwdyqazkh8gDhnPXXS79YGL1BzNAZl15pp35EOcMPsszxYkuLFWmggXm
d0CPgMRHxXjowMHDJ/AGfbDL3USm31rC4l0gCH7SP0l8eiv8vPC1CELDPO4X6ecUVh6PYhAybePI
9ZfJ6QCOE0eZwGwIH6Xloo4V2YbxRCnyvn9pE17+mDsoksuln1GOBR3RQivOegHpZzBy85V8U4Bk
UWCAhnr3dL6Cq/kLQE9JOZGdhfxgJcoggoKyiEYTJR66yfWyT1kvDdCGn1N2NPpmDbNwiFJRF9q1
5+kL9RPoPF6oGdH2hT3GoSNZkM4kKDKHy572uRcMZpQEZKCNxq7wOZ8SiY72k6GfLX/x5l0L3zVb
WdcaINNbLdL104Gtojbj3LEx01XZ9XEvJTmTHyQY7COhdNTwIQSk8TNIBAe0WTCjuUburgrR09Ga
O19GkR3cSnlP1r51XYFMmnQXM3LcaI6RClqCxB6pUmkU/1ABzsbfoHMMRtPQ9enPlAzTuaaPkf5E
v4g9gn1nbrT0ilOyMaTTUz2BkWricCNopufN1bnyyVJ77lPkLfrRdLiwgO/ayGJ+s/BXtvWQpYX3
4PZXmgIlZJ+Fun4ovqkX0JE0xOR1PubKItHurKCrATH2NS31T7ENdRI9q2x1GuH16pcZ5LnFV2kI
Av0OeF6PjubzcDRwxmAG5IdAtrPkxs+14AY05ODB9dTefLpKZrJylqUOohJIckTLvKUaLcZLhWZI
HFuxXIVjRfKdxUPm0msC7QB4lO4vo2xxbsddmpcuZpAYgdK08uHYcxXvZx3Z7l3R0yLWzpSRXtgf
02GUa+NhP+Ip6BcDl3b23iJli8pcENxoySheTBVLo+MAuXb1FLvLvpJWS/l74K3cz7LU9e+G4TDP
J5pOAeA0nS+VfJKAfAHdIvEE90Ls4YQGYYw/XPM/UkMCP85sFH/vjdKIFK+dZRn9oLVBd+oVs/7s
8wx68NlnUjWUu2SzYHReOHk3+ZSPcDp9WKkcKlB62Sc96Q0NPUqCxaSrCTwaxQSQPyI0/dvuIgGL
2NMHqiBTzrNTzFnvRx80zrmedWGwcjM1+RH2tNV9lC2ks4XeG9jn9E+LvtIldZmf0kYREXXALkz6
bOEjeGWPugqn90WH4PYzJOLJ88Amoz6Wek4mT4TtOOkW3Z6G1CtqSlJYRV66EI9G4yGwClQENFqj
cTJa9uRpvxsUkMMuCt3qnxINVC8K2LpoB5UsFPvZn/lzjcTmTAepr9pUqgx8HwDxfKH0fw67M/ci
TBdKMrZ0OodQMRMOF5PlrLcytHiew3Y5mEMElWIv2mSuvD7dtkmEDy5pwWxfQf9IaDlMYk0SqOse
T0OYDW6w0kcGpOVAdFYUX4xTRXcSarNh55woLkRiJ1i5izu7WA6y8yK185v+IkPx5JbqnssIHcJv
07RsOkjj1eOsRxXpR58aBY+q+64yPx0BfQ7HPW2ZhZ/SVSb502UEmyrN21DsR0IHu6ERTlgiqwd2
m2qieq+ymSqtCBcX/mSmjrgrM0yJHyttyVpwClhzSinw6iSJyc4eCcrsxH42kf0+5Y/EJ6hZq4ZI
whj7Yg52b7JaeTwss0KzbimZgDaONC2I0j7RpgU2MvC4NDwvMCmWR/a+JyAuCntx3Qnxw3dfiyny
TAOhdlDRkd8DCtj11VM9yZMfW/GBm03scJtcaG8KQwQtB+BWqRqr8+EVnnCDll1/okHDkZwM5okP
eUHfGV1SzR+Sau7SBBZc8opTwIpDoUjzvlJMwCKpd8R77OhI1G1339Tu4vpDdAIvEOnE6smnLlUo
nuqEoCUU9VTq474Hem59ObzvfbMoxPaEUInSz9osNF4JKdfGe6BrWPERx0jFxNGDI80RdrN4ZO4o
byBsAp0EvPfVvWirIW6jOwyISuC3o8CpHsRrmef3JI6sYz10d/dEspBmkwNI/AXDSm022prTWUtf
Am0KRlyRXFNX0x6Ew8fKKnej3bQwozSpPxRsWrRjre5qEfUynjvuhq4HC/c07GrYq3QpgJFPiYLp
TEmdY2WyYshq4Hs46MF7C2dMn8TFTg8dOk/wtPrUSvQDaoOcvnKj2fbiomdn/btesfSfeG5Wk14X
OT0ijzvfkK1CzQrxDtyUOFfiNLaSpGEfjFI/V4kjzLwlmnqlATOSE59Kpthy5SOVjfVgqWgkrtHo
j1MlGEyNTU0w5ciJfHAt2DYLhWcnHa14GFzSb/fawsfMYv7BF12ztW/D+ZDSAS2G+MOJZs7Phy/I
zkdmHSg/SaKpATmHelE0rcNcWelq/sRN4QeBpJ7yoBMpxpaakFbpK2PQOkcla4++J9lAAaskFBJc
q9WzdmCkKGbDJcoo1bRvfjiQLGniuCPNP/GCHkUSI3rJuzYYipHlHym03/nOGvgBeKrgqsK+2dE7
YCOFD2z7E28x0C96WgGvp9MdJj8sW8WFedPpEu2nYRISDXuUoKSrN8bNE5CzK1WyJx7+6UUGAGhG
AVz/Fy+ZuScxjRmOSXFNN4gJeUJQeAR82WF9wmjkpracAaoP0wHxUJe+i95xrVoTGsLGZEp4rdep
forJat9PGzqeDaKPKsgZSLB45EonhZrYVB8sZaD3vdWx56smMJsJxXQIK+Q0dZVH4TqtUvXIoZhB
kR88HNbvK1QQERPtJLOIA4Gj4KIe/ng1SWFSmpUJeAG4DLLvdY0AZ2QMNWZEN9/u8lknBEOeNnv2
5P6xFiZ7JlozmHERReJLrekCO3ekSKakZ5JzLcaeJ1KnHqyVrjw7VuK8Zyo46QCDKFCmwfYm4vJb
Wo4CsLzn4ATQLi9yaUHApjzM05OR+N3h46vXyYvzI43I4w4VLbnh9c+35qKCSXMT6v8mET2SCYK4
wZCA5zJdXLlzrXA/6ZAdflEoNLgufFwtKtQKmO2HK7/QzxYqMPmrSFp5y+nhZe2egApYBHiKRF9s
MiS1ww7SxTByE4cQcYFbpwNbo6gjc6cj8bu3TwX5H+fM5sH31A7bKTx7BdjNnkjzxf0gW94v/Oy+
x+/fPg0mJG8XdCoSXWqr39R1XDUKbELmqeRCpUst3FR1Ya2kI533jsMD9iXKpJBUhKg6lZNBXLeY
URG6TPycHncUr9AWnDb34neHd7V75QXcRiHLDuqLvju1qQiweEDoJGuCreOeE23mflOOX4BgQseQ
37CutG6weDo8a80fQGYxwnkcoOFGQMhmVjcIVrOru0piTdBwo3DSw9e8Xmp02xklKXJq28vvNF2B
KXpIOicdzv0j9uoe6Rwgn/SwhrWSh6P2LXGWl8M5NUu8/4tIvhn0PPkBbD22AXVVLOjwbndnY6sw
Zkg9wXel1n0PoHRRNhoAK53H+T11hwS+++n9K3TB7kSk+sCgACwi9d3Xah9TcimhWNggWmfFan0T
SJy96ybA1iRD3IpRTA/B+umlUbhygMGT5+gXixOHb/RtvoIszxa/e+vR9UWDX06P7eyaMMs0pUeh
FHF0iftJ3G2/53x6z91GENQBVxvfEORZ7eA8TcMXnpMnhTcipPNL/uwranDh2unz4f3sGA592P2w
A7G98ZZ2eihrdteh9oRwh6tK7rkqChCO72bPJAPoSemxSNx8d5J04OcOPIr6mGr54FalxdsPbpR6
+uatwAWJaofikuxo3Trx4cAhE7TSx7OFYn3hfQku5ml2zLPcFWlBSCJ6yGFP8lvx863XDfvWcVQ7
1alXBMhzorK3xVmmupjPo1mCBX94U3unA3pEWwdMEVqEVKfT8yTQBzmhUjlc5vcepN4f5zkBA49K
7Onbp+rTbAtzi5DdzmVV5kUukRqAMsSf6TQ4HDnhRW+G+wz7AHVHhyfbEQmCABIgThz0nrzr8c18
dwQV+ag7dvWeetolEjTt2QjfG2fBaoR4aoRiQB60elfYbjGLaZDVH41p/6OeJkRcT6DlefPBMQuH
RvRPPMe8WdVvlFEh1e3HM52iph59BLPeUFrgK/uDr9iS6rGOjDtGOLMB4kAJYfBjOtaeilWmJMO+
ReXywNmURoJdAILzNadW9ESnqv7q7WcIXzd4El4K7LrafD2YIOak1EeCtoGoZB+40mpEpe2bZ2Ff
gL6QBvBodZtJx7UJ3TksMbbX1fOLnr/CHaTD0fwo1+6O5PGhCNgMsc+I3uwgUfO0gNDBWXKj/Dm9
tcidppQXD6lQPCLia7jeVlQDFNuwJywzWtqCruF/q3KRWNCu0D1EqD109wKWzStH1+VHHzQCtVAK
TX2Wyyj8HI1Idnbpde+dSFbugu+IIR8RPZJcWjJRJR6PA6XXvejlfnYJviEhlk1R9JS2Sdl1li60
By2EiW9CO7HkeiD5xTebnnHBGeHH/L6vpmF0MYe+Z3Y6oM8WTHMD1flCSpu4X2ppOP/2rD+3Ps4S
Mg3n5C+/z/Wl4n7ydc36JdFSGmIBfsyc+xVd5q6JqScK+F2NChZKCZP7ZRENresEblgV9pKecjO3
5GFxkgBouBytJIrSh6qlu1OVCg/iyvCdmnDz9P0xunwp02elvzov6Go1vE6dRHpwaS1H2mqQEf59
q4RRNAIfhUwEjYe1fm8Sb5isXMG6klnYsMmsG5B4OirHu7dzuH5LyS4SbgXrXP3mOsfRo/WWPlaH
IeEkhQ5UdAHLsCGXXf1ayqPi49u2BUYcRwtQlajLGMn1GHoYLz1CRBr99bJZ8mM18tUzL1gc6+FS
vzTMgiIlyilQvvJOGNkddun/AdxjHK8UTHEHM6vQuv7t4b3UHztmgXYS7KeoISAkV7PCdY+KP0rU
dHL3WXjhJhEVoYmn4wH4NEM54mjs2RIeGhcU0x9DuG4uzNwoc8Iw646zJSRcoc+zYJG43CiBtjGK
r+u09f8Byfiykb0tuDbdwSwzFD+9CZ0gvYMhKHXS/EtmxvmmFder/tF2M6/dgV7XtkuW+YKVjhPr
kdZLOTSCZ7Di7NkEJqn+1CNCJrpjjza//tbxwsB6+bGm0EgCPnm0xOYX4sd8Wye0u/TddmTv+zeH
NmCuj7xsotHsBPo/Qa2AgyT3XvZYOQF59BOBLziJ5QEHJc7qz3YCxI2bCoH2E+qFbgkos82vyhFo
0k+yLLCuCnBX8YtH+88lBGuwbzMpUH8SbQ2GmN+VvavqT5jIJLQIXa9/kRV97d5fcUt+0xQEiLzn
tSJxzGSfKvm9f1Cqkd2fb4Oh4e7+DaS8/pd3eWRuJt9cJfHnf38KM8r3UWKWEwbrS771Q9HgcOuP
lX+7wZFv/bTUENtzvRzH7kL3bqH8y3PHjA26oOTT9ZV/2ZQAr//b3z6QiDACvH4j2IZ+I57/uZR/
+1tlpVs35eDIhRk/Go5bHZi3ufHAsW/SpqocSGgwbm/TUccGxF3Gs5nY5VhrCHwLB3GVG4FvxJVh
21iwndU/Gveu8THEWWA65TjiCETbiKajTgz/MXyufjNhKTcd9zZ2OpewElSEQeV5aTowNyyoDtqC
4J5jFHQuxP/cfvharlEcMbmD8o9Cibzvvn0MnsPATKqHTCa2lZHro7ZwLT4ZUVU1gNhpvtaLPLby
oq7O8J2aD30dxqnN94vNimTQrLT52Ldhtn/sFgTjwiiMmb17JC3c60sjTMrNrwVZVPk2vXtXxpMR
7lwRrYVTvuLuhV5NlrUWjvjK8J6dhVk9i34LKoOBDZCGVYETPfKaHvK1GRleOcz604ky9Kaj3hix
8WR6nY+JZwTP1eMQbnfz8QVYr6Y2BGN644GxHaEcdVCg5WDiUNYE2E3HvnUCy4hQG5WRpRak4842
HHHQlYFFl+GmS74zaA+/c9JrbFjzoSlar9iaID9aWHEWz4RZWJcOWh01H/y+eDT3HIdo0930OL45
ZhoYfjnQWujaUHWfoWYJF52PaRZnUedfO7Bkx2GavdzM7enI/vRa2MjLhBdZYCS2EzNl+Vtn36TU
hyvlKt5v89xGsZF6+T59oxAib+PJcJ6fPbMzNZK0XK74RsAYD46OFvnNlz7kJL2c2q3tQKluBJza
b7/d6NDtSYksUFEOxqCp0K1fFYMPFDve//1v/yOZGbnROYtz49lgBefGY+gb5Ver6EOwqKCYCD43
XcEdrRbi7qWZpBWtCIfeiBhJ8/FvTZyCWSnuyb+eOAbtiVN29SULno2wnEF8S/o+EbhvYdKTcPYc
coB3xgw30vErr/YIZDN5tXLi98v8hZHRSXFWDiR2IPWkHunIFgyZG4Nive6T7RjdJMn2zNHCt7/F
094zcgs66NKgnqZm1myO5ugjsC+y8luQdvI7kaUywPL2n79coLW6Vyhe/wtGliZGgD7Z/tBtqK6z
2DSDus0DfUBjjXRlrpynil4ghdN82FuD/EbnhghcbHYw1TpXzjwzSQ+UQ69FoNfCTPeBk5rPndvU
SGtGrABiNVXYEwaIDa/zwTdj56nyWYnqDw957rwgr3oLJ0bsPD6aVeNQ1NGA8Tlk4m/G/+MuMNj7
v+D1/eBZfOnKh25BjD4IB7wyaAsv4jhME3yKyrCChqSpzI/xJ6r39OgzQoCfxOYhi2+MQR48O+Xq
xPVvw0WZ2Mbz9piCAqXp/r+aUfboOU+d8Ecntc0ONYtWRUOqLejdE9MPn7Dimeb4fC1IIKFoMw6r
+ldtQVgmIRZtNRqmHdJar1WKpd6lPOkJB6E8o/LrCvnRWgglTIzI7Hwz4+eKPS6wR02lCP77R6Kb
FYnvH3ovXnkyUyuP0nJ54hjaCItN55mBp+zw0p1lRIMqOkVQJjY9jWkMYXJ1WEHd1XjY1HbCqKqu
23Bp7rj2ZyRvqiMPWzBXzvAyK8p12IKsnZHLrHyyYQufbFcQMEqaf7LJr/87NTvP/0TjLqcaGwQp
0nz4CzPIK0ch8teN5ezSeaxbBaCvWxjXTMLUrjwuYK5bGNd5rJ2CAOs2vW1XODaWkTxVk7rQVLYx
dB6m1aCIpLXwzIqQz9Ip1yfUJVjs8o/vD0YwbG3QFm7xFQ/pU80XayNycmVkaF8nw2HYSMD6GATy
uLlAiJHBUVRvXBvP3FVYCP2L01guc7PqFsT42sHEr4zaxpOxHrV2EIMWLJSNGoY/KUmMrLJqUZba
9At+/fXvWQBkpxxpfciCtbTxwHgm1TCI3Ea2/9bMn2zT82quvoCbNl3xJhf9YW1wlqOJ4wDcV/7x
/QqDwKxpVUN0sqhmb7xoEWExOpcmGIhytPWiBTNt48GJh9fSxjATtzBu9lyNdqx5NZuu9i6semkQ
draw1F//Z9iBEvXXv6+jWDfxr/8reHKi6lkrLZz1HdewlvCGzaX5Bu6MoKgraKonmg98b+1c8Dag
TcQJZmCQOqdGUjGL4FNuvmawf07Npqd+ofm4U+IwqRNUTIJ13WRTmX7Y8UEoB2++3gfHfzQel1Up
FjQhTde70aG3O/d70ILWGJNdvcOYq8A36F3QfNUfHvMq9g8mEVF3AnqdYjd6s/eO+1N/XBx2k5Ot
5GTEO/VGiO72+l/+8+2/mgoIbYkvrsxV/qT8y4NBQMOOSQyUX2xtbLRgOE/yKK5at22YzWfgx0gr
xE5UWa9A8Te9Jh/j6vsH40ALgyaxYVYuBxWhLQwL8345yvqDyVL5x/ebQ5/CuGYCAKFvPuxFtjSc
SnAMyqXmw16aj0ZQs5HbeEI/+zUxaEMFf6G6qOrdiCKPphJ7mCt9ja9/vzTc5rWMi9wGJPYlMSj4
3TtT3yHWXnMaRAVU03P5DpSjA4a+gkuAPqj5yL+Y4LrKYdYmfb+Fi3cddhC6f0o69VwyhUzlZO//
kGckuYLObfb4DCCNwH3lKqqU2rRgd2IoP+4DPgEFQd8Jrv2m3/TDY9a5yhKjHGmt9Tajt3BG//F1
ejv9+m168l87QnjMmAOryz9E0IJ0AdND1FXREud4iG3fY/0PAnKs8+Dl87/GhLwYEAfKfnZKhLbX
//Kfb//VtB37w/Scomr1tqADYA1Njc7XGjygFb/C69wa3sJ4DisaXfCXNBXyMxI+Ju59RcpHLdxP
qj2es9hIyiW+3J7yj+9XLtcccGxYWWXF0kEIxitTajdkT6qoNUkwJhw+4n3S+Y+5cKJbVu9V0Asu
TcAudi5b9WKGT4BPjvybSiXcH1azV4fgCAhK7TO9bPmVX/5DgLH0RBK+KlQgThuOWw/l7MlCvW2l
0ywOq2EnqQfhRrNlbkp79mGb1uC8ZkebYQLshA95Kxoe7UuYdhePRc+p3Yj42w75s7gJ1Ri+YGxV
4TeBvRBiY97kXWv6bXPcYJ9bYX0WAZKFIJv/h+lPdBU6ZLOjW1+FLENmjJogwoNFl8d1B1BoQ0E1
ixZJv6voXjvR2PAEkGUXgwfDHS2fhyNJYX+CGfagZfza6a7Imkbgxv3qp8JqotHbUDDCSgDGRQvS
FvZ2ZVh2bD6WI4nnjIaFA/F/gkQKNjEYPNqY6DccYOfaBHYUCwu98opC7iQaS8J0C5OfoCY9mCDd
HOYf90pt1FNTs7D6Uv0pXiGPYEBV8FoIMXygipVEzraUtZDS+iB0cHWtUgsG79j0LCerFu8cugGv
VFdjemw7xjrPcm7GhWmFi1o1suBr+11l9dpZTM+oRQvbQIjQ/MICyFv5gkoLyz0xRRF9JbzQRhzg
Y8wxVCvoBJl908OdJmn9aRPtn5sOOylMUZtRDrTWwS2c7SldjmqHIHrcNl3tqRGH5r4QxcH36JXi
e0ro+MksFylOQpCNN13ymfOIrVYLHLZRYHoGtVGQmHm5RLHg477VcTjxmRkTx6oO28Y5UGZRPd02
sBCTOCQ9WBHfNdt30692nlFhG1cOAbah8qjf72l/pJa5di/oytDCuKnhVVcrekE3PYVPZlwTMOhE
WxiWSOaVkVdjsNDdNR/50kgXNWloI3N+6aR2VjdNpF0XMftPop5X6pxbL1wYs/qSWzjjSwe9npoB
YdBaVrCNbP9ltjLhX8liq/xmQvtIbZQvX4XeM2dSGVfQMTeVZZgajDoCsIUrAlwxrS62DRTB77gp
UhvJfiITS6OqK9p4munxU1dsbWQMbqBIyWrwLqmN6ryvILBqzobcBghb3GiqfCoyAetlcwGmyBWt
GTtBFbzThtdxG9WgA3jBLSx4YeDQxc/lSEJFrPvINL3Kt0vzufp4yG1kzm+XTgrDWF2M6fpV7uD9
7/79TKAzKsbluqd006N4ycReQAjyHFbdxt0A7tufp2+iigq5m0ClWR7C+jMejI+88u1DI/NAmVZc
Feg2vJpbiOJqV7CNmhgIFExRunZVAxdorUAsNiFjuIpMaLeqqxd0wC08VhdhEi4qpw0LuAqVevlt
3y/gv/53cW/2uWY0jJHgyx4B+xqSCqdlzdHp/rjQGhy7O9HipoG27d2IAwY+tv1XU4LcW/iv3/1R
lcG1EUEAgeO/JPPk3pSTdrwUft+ZH/hIbX6Jshj9HytkmyhARYbKBRwCGX6Is8eKYSM1VxzkCR0y
z+vY5NiIHwG4loOuX5ryD+9XTVSIZ45XTce3wZUlVgt+gGzA5hVfu0AtaGlRITk2bPLmlaHbAG5N
jByrd5+WbsN1m9Sko41ysJPQB/1dTSK34WGV4+6vf26DaA9ekTpdSRsOEeiSZ9g+smrGejc9+3Zj
7xyAp1MR5jZ4kz4hx7XvRw+Acpr332pcIVEXUK9ia6NCXhimiSj+Sctlrq/2wQTrK23eG4K2aSgQ
TRUzTG4DIrghhrlw0jRZa9Nrc+FUNUgbrGybWS6zp6qFKrdhn97h3TrPxvN6+XfhI9n87S9Ab5zy
j++XmzuqYDbnM0Euw2SfMoRYvflEm4P65pBTgK9HGMeC8WKjFXZYIduoIR6LUtTE7nxzYsvZq+TB
Pjbf1/3twRlaiHSMCdXVCtjlNoB5E0AbEMGWR7A2L9qoT701qlYRPVvKOd4vp3B8pp0pWWZc8GoF
Bk2VWxh+zSKFCZPav/7dM/28HFKcCj1hyz823MCVwQzVWA3FP23wamyu1+YV6PzzJnf3L+WqxSYU
kBxH4QN/nOUvOK7+kk7YPnBaG/FPwiM/Qm/2oq+3vzT9DelgNaQjN9EM+mJqx4k//rjvvsHSld7W
ezHdf0LwTmwJN6hKlnKQ0fSVJtMYfu1aUq+NgqZxbBTVgsc2iprF96xEedugHJmEXlgnzGmD0Xf6
hC9Rxb+3QVB4iuPzZAu2oxp1ThvZq1PDm/1upLEFq+0so7dGJQIBFWqpbBo8hrB5gISviIbUBmhF
8KMTPqk839KwBQPhxoyzct9r9+e4Uj2OLbmPs/pi5TZuyDfyCAUkmJUPB5yz3MDvfbg/7hnYhxZu
+ihs70bs+HCg+Z0xQFq74V5UDroNHv6vWVLDU8ttRB/ufv0/kB7klXsHFvxPLBd7QPFN5eJPaCxs
agyozzP8sCJLbXgeYxBs9TByGw6NeIbDvY51G81gJqGIRvzzhUklXWD9y764RBtRgnWWUZRGCiwB
T92+edrA20zCsLTVK0EorYUI+anjOuUVFm9TG41GTsEUiELmku94ned1nuLdDkgHqYNfadS+2EiA
ZvKdDktt1N29jL+u6BEfW4SffqvIEg2uavUPRzXi8bedwHQFgLBbzfOOkLQJfuRFQtd7uHo6ITjk
lX9XkSzKIkqh+L33/vguLmDCfyTkUo60Nn3aYCGa2DGV2+R09jiw0vEX6fjKr81lZ2J4e8ADbSAq
rp0aXVwbeIpvRkCtbFY56zZiZ9fQ8lVHbePOigN+MKnrrYL7ATeUG3i/2N046RMxz72PC7VkLUxg
RCRZxRb2kI+20+fBq5PotXAdeaQS+i/s7/+0W0r6dg2zCSOemx7Juv/S+ZAQrE8g7dtkIMSNJV1K
D5NJFtgVO4USv+Yf5S6c4bNUJJWm8m2MC3q9HEZoMLmNjnJ3GYC+2mJbkMzvfF5nk5E5zVKa/VQW
3kYOecfIlNtgy5iI9l4im1de2u11awSfBwNqCmngDH2GqrUBsX0B+21qQWn7EIRx53NGtyLsxb1m
3EB0iOnBdzEkOkqV7XG66W0XcvoCTPrHIGH21bM2dXy2d3PcId7+1+Xet5r+Vhbzpp9v4UP2FdJW
Bn5Z5gGXbYdOYHvdf5Jd7qni/evtcl/R8J9sl9uisUdkXwJETx5m9r//PwAAAP//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312420</xdr:colOff>
      <xdr:row>1</xdr:row>
      <xdr:rowOff>171450</xdr:rowOff>
    </xdr:from>
    <xdr:to>
      <xdr:col>12</xdr:col>
      <xdr:colOff>7620</xdr:colOff>
      <xdr:row>16</xdr:row>
      <xdr:rowOff>171450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BA745F6-209E-4B05-9BA7-A09AA7D32E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70860" y="3543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60960</xdr:colOff>
      <xdr:row>24</xdr:row>
      <xdr:rowOff>41910</xdr:rowOff>
    </xdr:from>
    <xdr:to>
      <xdr:col>11</xdr:col>
      <xdr:colOff>975360</xdr:colOff>
      <xdr:row>39</xdr:row>
      <xdr:rowOff>41910</xdr:rowOff>
    </xdr:to>
    <xdr:graphicFrame macro="">
      <xdr:nvGraphicFramePr>
        <xdr:cNvPr id="2" name="Chart 1">
          <a:extLst>
            <a:ext uri="{FF2B5EF4-FFF2-40B4-BE49-F238E27FC236}">
              <a16:creationId xmlns:a16="http://schemas.microsoft.com/office/drawing/2014/main" id="{F959AFAD-D6B9-45C9-9339-816826547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297180</xdr:colOff>
      <xdr:row>43</xdr:row>
      <xdr:rowOff>72390</xdr:rowOff>
    </xdr:from>
    <xdr:to>
      <xdr:col>12</xdr:col>
      <xdr:colOff>388620</xdr:colOff>
      <xdr:row>58</xdr:row>
      <xdr:rowOff>72390</xdr:rowOff>
    </xdr:to>
    <xdr:graphicFrame macro="">
      <xdr:nvGraphicFramePr>
        <xdr:cNvPr id="3" name="Chart 2">
          <a:extLst>
            <a:ext uri="{FF2B5EF4-FFF2-40B4-BE49-F238E27FC236}">
              <a16:creationId xmlns:a16="http://schemas.microsoft.com/office/drawing/2014/main" id="{F0A1C064-1376-42A7-BA82-5183FE2CF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480060</xdr:colOff>
      <xdr:row>80</xdr:row>
      <xdr:rowOff>179070</xdr:rowOff>
    </xdr:from>
    <xdr:to>
      <xdr:col>13</xdr:col>
      <xdr:colOff>15240</xdr:colOff>
      <xdr:row>95</xdr:row>
      <xdr:rowOff>179070</xdr:rowOff>
    </xdr:to>
    <xdr:graphicFrame macro="">
      <xdr:nvGraphicFramePr>
        <xdr:cNvPr id="4" name="Chart 3">
          <a:extLst>
            <a:ext uri="{FF2B5EF4-FFF2-40B4-BE49-F238E27FC236}">
              <a16:creationId xmlns:a16="http://schemas.microsoft.com/office/drawing/2014/main" id="{1737FF10-21EE-4DC2-B578-8762EDFED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502920</xdr:colOff>
      <xdr:row>11</xdr:row>
      <xdr:rowOff>0</xdr:rowOff>
    </xdr:from>
    <xdr:to>
      <xdr:col>10</xdr:col>
      <xdr:colOff>182880</xdr:colOff>
      <xdr:row>18</xdr:row>
      <xdr:rowOff>91440</xdr:rowOff>
    </xdr:to>
    <mc:AlternateContent xmlns:mc="http://schemas.openxmlformats.org/markup-compatibility/2006" xmlns:tsle="http://schemas.microsoft.com/office/drawing/2012/timeslicer">
      <mc:Choice Requires="tsle">
        <xdr:graphicFrame macro="">
          <xdr:nvGraphicFramePr>
            <xdr:cNvPr id="6" name="Order_Date 1">
              <a:extLst>
                <a:ext uri="{FF2B5EF4-FFF2-40B4-BE49-F238E27FC236}">
                  <a16:creationId xmlns:a16="http://schemas.microsoft.com/office/drawing/2014/main" id="{6CB9C15C-7EC6-45C1-8E25-0743CFA22B65}"/>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3436620" y="20116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220980</xdr:colOff>
      <xdr:row>10</xdr:row>
      <xdr:rowOff>129540</xdr:rowOff>
    </xdr:from>
    <xdr:to>
      <xdr:col>15</xdr:col>
      <xdr:colOff>220980</xdr:colOff>
      <xdr:row>24</xdr:row>
      <xdr:rowOff>36195</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6696B8B5-F734-48D4-B713-D4E595BE315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191500" y="1958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33867</xdr:rowOff>
    </xdr:from>
    <xdr:to>
      <xdr:col>26</xdr:col>
      <xdr:colOff>500743</xdr:colOff>
      <xdr:row>61</xdr:row>
      <xdr:rowOff>107928</xdr:rowOff>
    </xdr:to>
    <xdr:sp macro="" textlink="">
      <xdr:nvSpPr>
        <xdr:cNvPr id="14" name="Rectangle 13">
          <a:extLst>
            <a:ext uri="{FF2B5EF4-FFF2-40B4-BE49-F238E27FC236}">
              <a16:creationId xmlns:a16="http://schemas.microsoft.com/office/drawing/2014/main" id="{30B799FA-BFF0-4467-A6B1-11AA03C68606}"/>
            </a:ext>
          </a:extLst>
        </xdr:cNvPr>
        <xdr:cNvSpPr/>
      </xdr:nvSpPr>
      <xdr:spPr>
        <a:xfrm>
          <a:off x="0" y="33867"/>
          <a:ext cx="16350343" cy="11436328"/>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ln>
              <a:solidFill>
                <a:schemeClr val="bg2"/>
              </a:solidFill>
            </a:ln>
            <a:solidFill>
              <a:schemeClr val="bg1"/>
            </a:solidFill>
          </a:endParaRPr>
        </a:p>
      </xdr:txBody>
    </xdr:sp>
    <xdr:clientData/>
  </xdr:twoCellAnchor>
  <xdr:twoCellAnchor>
    <xdr:from>
      <xdr:col>13</xdr:col>
      <xdr:colOff>342900</xdr:colOff>
      <xdr:row>9</xdr:row>
      <xdr:rowOff>19049</xdr:rowOff>
    </xdr:from>
    <xdr:to>
      <xdr:col>21</xdr:col>
      <xdr:colOff>504825</xdr:colOff>
      <xdr:row>23</xdr:row>
      <xdr:rowOff>123824</xdr:rowOff>
    </xdr:to>
    <xdr:graphicFrame macro="">
      <xdr:nvGraphicFramePr>
        <xdr:cNvPr id="2" name="Chart 1">
          <a:extLst>
            <a:ext uri="{FF2B5EF4-FFF2-40B4-BE49-F238E27FC236}">
              <a16:creationId xmlns:a16="http://schemas.microsoft.com/office/drawing/2014/main" id="{A5056A18-978A-4A01-BD5F-FA37F845A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180975</xdr:colOff>
      <xdr:row>24</xdr:row>
      <xdr:rowOff>66675</xdr:rowOff>
    </xdr:from>
    <xdr:to>
      <xdr:col>13</xdr:col>
      <xdr:colOff>266700</xdr:colOff>
      <xdr:row>38</xdr:row>
      <xdr:rowOff>52918</xdr:rowOff>
    </xdr:to>
    <xdr:graphicFrame macro="">
      <xdr:nvGraphicFramePr>
        <xdr:cNvPr id="3" name="Chart 2">
          <a:extLst>
            <a:ext uri="{FF2B5EF4-FFF2-40B4-BE49-F238E27FC236}">
              <a16:creationId xmlns:a16="http://schemas.microsoft.com/office/drawing/2014/main" id="{57B38966-6685-4A60-BDA7-E499C77E6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342900</xdr:colOff>
      <xdr:row>24</xdr:row>
      <xdr:rowOff>66676</xdr:rowOff>
    </xdr:from>
    <xdr:to>
      <xdr:col>21</xdr:col>
      <xdr:colOff>542925</xdr:colOff>
      <xdr:row>38</xdr:row>
      <xdr:rowOff>47626</xdr:rowOff>
    </xdr:to>
    <xdr:graphicFrame macro="">
      <xdr:nvGraphicFramePr>
        <xdr:cNvPr id="4" name="Chart 3">
          <a:extLst>
            <a:ext uri="{FF2B5EF4-FFF2-40B4-BE49-F238E27FC236}">
              <a16:creationId xmlns:a16="http://schemas.microsoft.com/office/drawing/2014/main" id="{DB3AE83C-C7C6-4BE9-8245-CE4AF06A0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295275</xdr:colOff>
      <xdr:row>1</xdr:row>
      <xdr:rowOff>0</xdr:rowOff>
    </xdr:from>
    <xdr:to>
      <xdr:col>16</xdr:col>
      <xdr:colOff>153760</xdr:colOff>
      <xdr:row>3</xdr:row>
      <xdr:rowOff>120952</xdr:rowOff>
    </xdr:to>
    <xdr:sp macro="" textlink="">
      <xdr:nvSpPr>
        <xdr:cNvPr id="5" name="Rectangle 4">
          <a:extLst>
            <a:ext uri="{FF2B5EF4-FFF2-40B4-BE49-F238E27FC236}">
              <a16:creationId xmlns:a16="http://schemas.microsoft.com/office/drawing/2014/main" id="{10FF2757-B521-4F33-99F7-4D2990272D5A}"/>
            </a:ext>
          </a:extLst>
        </xdr:cNvPr>
        <xdr:cNvSpPr/>
      </xdr:nvSpPr>
      <xdr:spPr>
        <a:xfrm>
          <a:off x="5781675" y="180975"/>
          <a:ext cx="4125685" cy="482902"/>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2200" b="1"/>
            <a:t>Simple Sales Dashboard</a:t>
          </a:r>
        </a:p>
      </xdr:txBody>
    </xdr:sp>
    <xdr:clientData/>
  </xdr:twoCellAnchor>
  <xdr:twoCellAnchor>
    <xdr:from>
      <xdr:col>5</xdr:col>
      <xdr:colOff>119743</xdr:colOff>
      <xdr:row>5</xdr:row>
      <xdr:rowOff>28575</xdr:rowOff>
    </xdr:from>
    <xdr:to>
      <xdr:col>7</xdr:col>
      <xdr:colOff>152400</xdr:colOff>
      <xdr:row>8</xdr:row>
      <xdr:rowOff>104166</xdr:rowOff>
    </xdr:to>
    <xdr:sp macro="" textlink="Pivot!$L$5">
      <xdr:nvSpPr>
        <xdr:cNvPr id="6" name="Rectangle 5">
          <a:extLst>
            <a:ext uri="{FF2B5EF4-FFF2-40B4-BE49-F238E27FC236}">
              <a16:creationId xmlns:a16="http://schemas.microsoft.com/office/drawing/2014/main" id="{7BF9DBCD-8AF6-421F-9B3A-2BF1570B743A}"/>
            </a:ext>
          </a:extLst>
        </xdr:cNvPr>
        <xdr:cNvSpPr/>
      </xdr:nvSpPr>
      <xdr:spPr>
        <a:xfrm>
          <a:off x="3167743" y="933450"/>
          <a:ext cx="1251857" cy="618516"/>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400" b="1" i="0" u="none" strike="noStrike">
              <a:solidFill>
                <a:schemeClr val="bg1"/>
              </a:solidFill>
              <a:latin typeface="Calibri"/>
              <a:ea typeface="Calibri"/>
              <a:cs typeface="Calibri"/>
            </a:rPr>
            <a:t># Orders</a:t>
          </a:r>
        </a:p>
        <a:p>
          <a:pPr algn="l"/>
          <a:fld id="{238E1A91-0DBE-4882-AD9C-874771BCAFAA}" type="TxLink">
            <a:rPr lang="en-US" sz="1400" b="1" i="0" u="none" strike="noStrike">
              <a:solidFill>
                <a:schemeClr val="bg1"/>
              </a:solidFill>
              <a:latin typeface="Calibri"/>
              <a:ea typeface="Calibri"/>
              <a:cs typeface="Calibri"/>
            </a:rPr>
            <a:pPr algn="l"/>
            <a:t>15</a:t>
          </a:fld>
          <a:endParaRPr lang="en-US" sz="1400" b="1">
            <a:solidFill>
              <a:schemeClr val="bg1"/>
            </a:solidFill>
          </a:endParaRPr>
        </a:p>
      </xdr:txBody>
    </xdr:sp>
    <xdr:clientData/>
  </xdr:twoCellAnchor>
  <xdr:twoCellAnchor>
    <xdr:from>
      <xdr:col>12</xdr:col>
      <xdr:colOff>284691</xdr:colOff>
      <xdr:row>5</xdr:row>
      <xdr:rowOff>0</xdr:rowOff>
    </xdr:from>
    <xdr:to>
      <xdr:col>14</xdr:col>
      <xdr:colOff>276225</xdr:colOff>
      <xdr:row>8</xdr:row>
      <xdr:rowOff>41980</xdr:rowOff>
    </xdr:to>
    <xdr:sp macro="" textlink="Pivot!$A$16">
      <xdr:nvSpPr>
        <xdr:cNvPr id="7" name="Rectangle 6">
          <a:extLst>
            <a:ext uri="{FF2B5EF4-FFF2-40B4-BE49-F238E27FC236}">
              <a16:creationId xmlns:a16="http://schemas.microsoft.com/office/drawing/2014/main" id="{4FDC1617-C7E1-45E8-A772-28342E7509B1}"/>
            </a:ext>
          </a:extLst>
        </xdr:cNvPr>
        <xdr:cNvSpPr/>
      </xdr:nvSpPr>
      <xdr:spPr>
        <a:xfrm>
          <a:off x="7599891" y="904875"/>
          <a:ext cx="1210734" cy="58490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400" b="1" i="0" u="none" strike="noStrike">
              <a:solidFill>
                <a:schemeClr val="bg1"/>
              </a:solidFill>
              <a:latin typeface="Calibri"/>
              <a:ea typeface="Calibri"/>
              <a:cs typeface="Calibri"/>
            </a:rPr>
            <a:t>Total Profit</a:t>
          </a:r>
        </a:p>
        <a:p>
          <a:pPr algn="l"/>
          <a:fld id="{07500185-9C07-4FE8-B876-835A4B57218C}" type="TxLink">
            <a:rPr lang="en-US" sz="1400" b="1" i="0" u="none" strike="noStrike">
              <a:solidFill>
                <a:schemeClr val="bg1"/>
              </a:solidFill>
              <a:latin typeface="Calibri"/>
              <a:ea typeface="Calibri"/>
              <a:cs typeface="Calibri"/>
            </a:rPr>
            <a:pPr algn="l"/>
            <a:t>2790</a:t>
          </a:fld>
          <a:endParaRPr lang="en-US" sz="1400" b="1">
            <a:solidFill>
              <a:schemeClr val="bg1"/>
            </a:solidFill>
          </a:endParaRPr>
        </a:p>
      </xdr:txBody>
    </xdr:sp>
    <xdr:clientData/>
  </xdr:twoCellAnchor>
  <xdr:twoCellAnchor>
    <xdr:from>
      <xdr:col>10</xdr:col>
      <xdr:colOff>0</xdr:colOff>
      <xdr:row>5</xdr:row>
      <xdr:rowOff>0</xdr:rowOff>
    </xdr:from>
    <xdr:to>
      <xdr:col>12</xdr:col>
      <xdr:colOff>111276</xdr:colOff>
      <xdr:row>8</xdr:row>
      <xdr:rowOff>79829</xdr:rowOff>
    </xdr:to>
    <xdr:sp macro="" textlink="Pivot!$A$12">
      <xdr:nvSpPr>
        <xdr:cNvPr id="8" name="Rectangle 7">
          <a:extLst>
            <a:ext uri="{FF2B5EF4-FFF2-40B4-BE49-F238E27FC236}">
              <a16:creationId xmlns:a16="http://schemas.microsoft.com/office/drawing/2014/main" id="{0A2E0B29-BA07-48CE-98BF-480C1A4ED7B1}"/>
            </a:ext>
          </a:extLst>
        </xdr:cNvPr>
        <xdr:cNvSpPr/>
      </xdr:nvSpPr>
      <xdr:spPr>
        <a:xfrm>
          <a:off x="6096000" y="904875"/>
          <a:ext cx="1330476" cy="622754"/>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400" b="1" i="0" u="none" strike="noStrike">
              <a:solidFill>
                <a:schemeClr val="bg1"/>
              </a:solidFill>
              <a:latin typeface="Calibri"/>
              <a:ea typeface="Calibri"/>
              <a:cs typeface="Calibri"/>
            </a:rPr>
            <a:t>Total Net</a:t>
          </a:r>
          <a:r>
            <a:rPr lang="en-US" sz="1400" b="1" i="0" u="none" strike="noStrike" baseline="0">
              <a:solidFill>
                <a:schemeClr val="bg1"/>
              </a:solidFill>
              <a:latin typeface="Calibri"/>
              <a:ea typeface="Calibri"/>
              <a:cs typeface="Calibri"/>
            </a:rPr>
            <a:t> Sales</a:t>
          </a:r>
          <a:endParaRPr lang="en-US" sz="1400" b="1" i="0" u="none" strike="noStrike">
            <a:solidFill>
              <a:schemeClr val="bg1"/>
            </a:solidFill>
            <a:latin typeface="Calibri"/>
            <a:ea typeface="Calibri"/>
            <a:cs typeface="Calibri"/>
          </a:endParaRPr>
        </a:p>
        <a:p>
          <a:pPr algn="l"/>
          <a:fld id="{52D289C8-0252-40E5-8A01-647266BA0B39}" type="TxLink">
            <a:rPr lang="en-US" sz="1400" b="1" i="0" u="none" strike="noStrike">
              <a:solidFill>
                <a:schemeClr val="bg1"/>
              </a:solidFill>
              <a:latin typeface="Calibri"/>
              <a:ea typeface="Calibri"/>
              <a:cs typeface="Calibri"/>
            </a:rPr>
            <a:pPr algn="l"/>
            <a:t>19832.7</a:t>
          </a:fld>
          <a:endParaRPr lang="en-US" sz="1400" b="1">
            <a:solidFill>
              <a:schemeClr val="bg1"/>
            </a:solidFill>
          </a:endParaRPr>
        </a:p>
      </xdr:txBody>
    </xdr:sp>
    <xdr:clientData/>
  </xdr:twoCellAnchor>
  <xdr:twoCellAnchor>
    <xdr:from>
      <xdr:col>7</xdr:col>
      <xdr:colOff>409575</xdr:colOff>
      <xdr:row>5</xdr:row>
      <xdr:rowOff>16933</xdr:rowOff>
    </xdr:from>
    <xdr:to>
      <xdr:col>9</xdr:col>
      <xdr:colOff>442232</xdr:colOff>
      <xdr:row>8</xdr:row>
      <xdr:rowOff>76200</xdr:rowOff>
    </xdr:to>
    <xdr:sp macro="" textlink="Pivot!$A$4">
      <xdr:nvSpPr>
        <xdr:cNvPr id="9" name="Rectangle 8">
          <a:extLst>
            <a:ext uri="{FF2B5EF4-FFF2-40B4-BE49-F238E27FC236}">
              <a16:creationId xmlns:a16="http://schemas.microsoft.com/office/drawing/2014/main" id="{94876C4D-FB06-4745-AB82-84301DD51472}"/>
            </a:ext>
          </a:extLst>
        </xdr:cNvPr>
        <xdr:cNvSpPr/>
      </xdr:nvSpPr>
      <xdr:spPr>
        <a:xfrm>
          <a:off x="4676775" y="921808"/>
          <a:ext cx="1251857" cy="602192"/>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400" b="1" i="0" u="none" strike="noStrike">
              <a:solidFill>
                <a:schemeClr val="bg1"/>
              </a:solidFill>
              <a:latin typeface="Calibri"/>
              <a:ea typeface="Calibri"/>
              <a:cs typeface="Calibri"/>
            </a:rPr>
            <a:t>Total Sales</a:t>
          </a:r>
          <a:br>
            <a:rPr lang="en-US" sz="1400" b="1" i="0" u="none" strike="noStrike">
              <a:solidFill>
                <a:schemeClr val="bg1"/>
              </a:solidFill>
              <a:latin typeface="Calibri"/>
              <a:ea typeface="Calibri"/>
              <a:cs typeface="Calibri"/>
            </a:rPr>
          </a:br>
          <a:fld id="{81C6C978-0D6E-45CD-A114-0A93F51401B2}" type="TxLink">
            <a:rPr lang="en-US" sz="1400" b="1" i="0" u="none" strike="noStrike">
              <a:solidFill>
                <a:schemeClr val="bg1"/>
              </a:solidFill>
              <a:latin typeface="Calibri"/>
              <a:ea typeface="Calibri"/>
              <a:cs typeface="Calibri"/>
            </a:rPr>
            <a:pPr algn="l"/>
            <a:t>21260</a:t>
          </a:fld>
          <a:endParaRPr lang="en-US" sz="1400" b="1">
            <a:solidFill>
              <a:schemeClr val="bg1"/>
            </a:solidFill>
          </a:endParaRPr>
        </a:p>
      </xdr:txBody>
    </xdr:sp>
    <xdr:clientData/>
  </xdr:twoCellAnchor>
  <xdr:twoCellAnchor>
    <xdr:from>
      <xdr:col>14</xdr:col>
      <xdr:colOff>478973</xdr:colOff>
      <xdr:row>5</xdr:row>
      <xdr:rowOff>0</xdr:rowOff>
    </xdr:from>
    <xdr:to>
      <xdr:col>18</xdr:col>
      <xdr:colOff>0</xdr:colOff>
      <xdr:row>8</xdr:row>
      <xdr:rowOff>44479</xdr:rowOff>
    </xdr:to>
    <xdr:sp macro="" textlink="Pivot!$A$19">
      <xdr:nvSpPr>
        <xdr:cNvPr id="10" name="Rectangle 9">
          <a:extLst>
            <a:ext uri="{FF2B5EF4-FFF2-40B4-BE49-F238E27FC236}">
              <a16:creationId xmlns:a16="http://schemas.microsoft.com/office/drawing/2014/main" id="{6DDB0B77-6E88-4A06-B736-3578E9F82BC0}"/>
            </a:ext>
          </a:extLst>
        </xdr:cNvPr>
        <xdr:cNvSpPr/>
      </xdr:nvSpPr>
      <xdr:spPr>
        <a:xfrm>
          <a:off x="9013373" y="904875"/>
          <a:ext cx="1959427" cy="587404"/>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400" b="1" i="0" u="none" strike="noStrike">
              <a:solidFill>
                <a:schemeClr val="bg1"/>
              </a:solidFill>
              <a:latin typeface="Calibri"/>
              <a:ea typeface="Calibri"/>
              <a:cs typeface="Calibri"/>
            </a:rPr>
            <a:t>AVG. of Profit Margin</a:t>
          </a:r>
        </a:p>
        <a:p>
          <a:pPr algn="l"/>
          <a:fld id="{A7BB954E-43BF-452B-A64F-555B2D80215B}" type="TxLink">
            <a:rPr lang="en-US" sz="1400" b="1" i="0" u="none" strike="noStrike">
              <a:solidFill>
                <a:schemeClr val="bg1"/>
              </a:solidFill>
              <a:latin typeface="Calibri"/>
              <a:ea typeface="Calibri"/>
              <a:cs typeface="Calibri"/>
            </a:rPr>
            <a:pPr algn="l"/>
            <a:t>13.5421891</a:t>
          </a:fld>
          <a:endParaRPr lang="en-US" sz="1400" b="1">
            <a:solidFill>
              <a:schemeClr val="bg1"/>
            </a:solidFill>
          </a:endParaRPr>
        </a:p>
      </xdr:txBody>
    </xdr:sp>
    <xdr:clientData/>
  </xdr:twoCellAnchor>
  <xdr:twoCellAnchor>
    <xdr:from>
      <xdr:col>18</xdr:col>
      <xdr:colOff>161925</xdr:colOff>
      <xdr:row>5</xdr:row>
      <xdr:rowOff>0</xdr:rowOff>
    </xdr:from>
    <xdr:to>
      <xdr:col>21</xdr:col>
      <xdr:colOff>407457</xdr:colOff>
      <xdr:row>8</xdr:row>
      <xdr:rowOff>65977</xdr:rowOff>
    </xdr:to>
    <xdr:sp macro="" textlink="Pivot!$A$22">
      <xdr:nvSpPr>
        <xdr:cNvPr id="11" name="Rectangle 10">
          <a:extLst>
            <a:ext uri="{FF2B5EF4-FFF2-40B4-BE49-F238E27FC236}">
              <a16:creationId xmlns:a16="http://schemas.microsoft.com/office/drawing/2014/main" id="{57185529-0108-4E7C-B1EB-CE89FDACC588}"/>
            </a:ext>
          </a:extLst>
        </xdr:cNvPr>
        <xdr:cNvSpPr/>
      </xdr:nvSpPr>
      <xdr:spPr>
        <a:xfrm>
          <a:off x="11134725" y="904875"/>
          <a:ext cx="2074332" cy="608902"/>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400" b="1" i="0" u="none" strike="noStrike">
              <a:solidFill>
                <a:schemeClr val="bg1"/>
              </a:solidFill>
              <a:latin typeface="Calibri"/>
              <a:ea typeface="Calibri"/>
              <a:cs typeface="Calibri"/>
            </a:rPr>
            <a:t>Avg. of Cust.</a:t>
          </a:r>
          <a:r>
            <a:rPr lang="en-US" sz="1400" b="1" i="0" u="none" strike="noStrike" baseline="0">
              <a:solidFill>
                <a:schemeClr val="bg1"/>
              </a:solidFill>
              <a:latin typeface="Calibri"/>
              <a:ea typeface="Calibri"/>
              <a:cs typeface="Calibri"/>
            </a:rPr>
            <a:t> Satisfaction</a:t>
          </a:r>
          <a:endParaRPr lang="en-US" sz="1400" b="1" i="0" u="none" strike="noStrike">
            <a:solidFill>
              <a:schemeClr val="bg1"/>
            </a:solidFill>
            <a:latin typeface="Calibri"/>
            <a:ea typeface="Calibri"/>
            <a:cs typeface="Calibri"/>
          </a:endParaRPr>
        </a:p>
        <a:p>
          <a:pPr algn="l"/>
          <a:fld id="{D899DC20-6209-4A6D-81E2-13244AA93CD4}" type="TxLink">
            <a:rPr lang="en-US" sz="1400" b="1" i="0" u="none" strike="noStrike">
              <a:solidFill>
                <a:schemeClr val="bg1"/>
              </a:solidFill>
              <a:latin typeface="Calibri"/>
              <a:ea typeface="Calibri"/>
              <a:cs typeface="Calibri"/>
            </a:rPr>
            <a:pPr algn="l"/>
            <a:t>4.373333333</a:t>
          </a:fld>
          <a:endParaRPr lang="en-US" sz="1400" b="1">
            <a:solidFill>
              <a:schemeClr val="bg1"/>
            </a:solidFill>
          </a:endParaRPr>
        </a:p>
      </xdr:txBody>
    </xdr:sp>
    <xdr:clientData/>
  </xdr:twoCellAnchor>
  <xdr:twoCellAnchor editAs="oneCell">
    <xdr:from>
      <xdr:col>0</xdr:col>
      <xdr:colOff>264885</xdr:colOff>
      <xdr:row>4</xdr:row>
      <xdr:rowOff>0</xdr:rowOff>
    </xdr:from>
    <xdr:to>
      <xdr:col>5</xdr:col>
      <xdr:colOff>0</xdr:colOff>
      <xdr:row>11</xdr:row>
      <xdr:rowOff>87843</xdr:rowOff>
    </xdr:to>
    <mc:AlternateContent xmlns:mc="http://schemas.openxmlformats.org/markup-compatibility/2006" xmlns:tsle="http://schemas.microsoft.com/office/drawing/2012/timeslicer">
      <mc:Choice Requires="tsle">
        <xdr:graphicFrame macro="">
          <xdr:nvGraphicFramePr>
            <xdr:cNvPr id="13" name="Order_Date 2">
              <a:extLst>
                <a:ext uri="{FF2B5EF4-FFF2-40B4-BE49-F238E27FC236}">
                  <a16:creationId xmlns:a16="http://schemas.microsoft.com/office/drawing/2014/main" id="{FF3CDA85-5E85-4827-A253-9A9A445A63BE}"/>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264885" y="723900"/>
              <a:ext cx="2783115" cy="135466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180975</xdr:colOff>
      <xdr:row>12</xdr:row>
      <xdr:rowOff>121710</xdr:rowOff>
    </xdr:from>
    <xdr:to>
      <xdr:col>5</xdr:col>
      <xdr:colOff>0</xdr:colOff>
      <xdr:row>24</xdr:row>
      <xdr:rowOff>0</xdr:rowOff>
    </xdr:to>
    <mc:AlternateContent xmlns:mc="http://schemas.openxmlformats.org/markup-compatibility/2006" xmlns:a14="http://schemas.microsoft.com/office/drawing/2010/main">
      <mc:Choice Requires="a14">
        <xdr:graphicFrame macro="">
          <xdr:nvGraphicFramePr>
            <xdr:cNvPr id="15" name="Product_Category 1">
              <a:extLst>
                <a:ext uri="{FF2B5EF4-FFF2-40B4-BE49-F238E27FC236}">
                  <a16:creationId xmlns:a16="http://schemas.microsoft.com/office/drawing/2014/main" id="{8EC3EA9C-4ACF-4585-B637-93172FD81246}"/>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80975" y="2293410"/>
              <a:ext cx="2867025" cy="2049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114300</xdr:colOff>
      <xdr:row>9</xdr:row>
      <xdr:rowOff>9525</xdr:rowOff>
    </xdr:from>
    <xdr:to>
      <xdr:col>13</xdr:col>
      <xdr:colOff>257175</xdr:colOff>
      <xdr:row>23</xdr:row>
      <xdr:rowOff>133350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956D9D8F-08E6-4C1B-9488-C100CA713D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162300" y="1638300"/>
              <a:ext cx="5019675" cy="2657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mohandes" refreshedDate="45955.700329629632" createdVersion="7" refreshedVersion="7" minRefreshableVersion="3" recordCount="15" xr:uid="{A964B45C-C35D-4861-9EA3-FED086BEDB04}">
  <cacheSource type="worksheet">
    <worksheetSource name="cleaned_data"/>
  </cacheSource>
  <cacheFields count="16">
    <cacheField name="Customer_ID" numFmtId="0">
      <sharedItems/>
    </cacheField>
    <cacheField name="Customer_Name" numFmtId="0">
      <sharedItems count="15">
        <s v="Ahmed Ali"/>
        <s v="Sara Hassan"/>
        <s v="Mohamed Saleh"/>
        <s v="Laila Omar"/>
        <s v="Khaled Zaki"/>
        <s v="Mona Fathy"/>
        <s v="Hani Nasser"/>
        <s v="Reem Adel"/>
        <s v="Ali Farid"/>
        <s v="Noha Salem"/>
        <s v="Tamer Hassan"/>
        <s v="Nada Mostafa"/>
        <s v="Amr Saeed"/>
        <s v="Salma Youssef"/>
        <s v="Hossam ElDeeb"/>
      </sharedItems>
    </cacheField>
    <cacheField name="Country" numFmtId="0">
      <sharedItems count="4">
        <s v="Egypt"/>
        <s v="Saudi Arabia"/>
        <s v="UAE"/>
        <s v="Qatar"/>
      </sharedItems>
    </cacheField>
    <cacheField name="Segment" numFmtId="0">
      <sharedItems/>
    </cacheField>
    <cacheField name="Product_Category" numFmtId="0">
      <sharedItems count="6">
        <s v="Electronics"/>
        <s v="Furniture"/>
        <s v="Office Supplies"/>
        <s v="Clothing"/>
        <s v="Beauty"/>
        <s v="Home Appliances"/>
      </sharedItems>
    </cacheField>
    <cacheField name="Order_ID" numFmtId="0">
      <sharedItems count="15">
        <s v="ORD1001"/>
        <s v="ORD1002"/>
        <s v="ORD1003"/>
        <s v="ORD1004"/>
        <s v="ORD1005"/>
        <s v="ORD1006"/>
        <s v="ORD1007"/>
        <s v="ORD1008"/>
        <s v="ORD1009"/>
        <s v="ORD1010"/>
        <s v="ORD1011"/>
        <s v="ORD1012"/>
        <s v="ORD1013"/>
        <s v="ORD1014"/>
        <s v="ORD1015"/>
      </sharedItems>
    </cacheField>
    <cacheField name="Order_Date" numFmtId="22">
      <sharedItems containsSemiMixedTypes="0" containsNonDate="0" containsDate="1" containsString="0" minDate="2024-11-02T00:00:00" maxDate="2024-12-05T00:00:00" count="15">
        <d v="2024-11-02T00:00:00"/>
        <d v="2024-11-05T00:00:00"/>
        <d v="2024-11-10T00:00:00"/>
        <d v="2024-11-13T00:00:00"/>
        <d v="2024-11-16T00:00:00"/>
        <d v="2024-11-19T00:00:00"/>
        <d v="2024-11-21T00:00:00"/>
        <d v="2024-11-23T00:00:00"/>
        <d v="2024-11-25T00:00:00"/>
        <d v="2024-11-27T00:00:00"/>
        <d v="2024-11-29T00:00:00"/>
        <d v="2024-12-01T00:00:00"/>
        <d v="2024-12-02T00:00:00"/>
        <d v="2024-12-03T00:00:00"/>
        <d v="2024-12-04T00:00:00"/>
      </sharedItems>
      <fieldGroup par="15" base="6">
        <rangePr groupBy="days" startDate="2024-11-02T00:00:00" endDate="2024-12-05T00:00:00"/>
        <groupItems count="368">
          <s v="&lt;1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5/2024"/>
        </groupItems>
      </fieldGroup>
    </cacheField>
    <cacheField name="Sales" numFmtId="0">
      <sharedItems containsSemiMixedTypes="0" containsString="0" containsNumber="1" containsInteger="1" minValue="480" maxValue="3300"/>
    </cacheField>
    <cacheField name="Quantity" numFmtId="0">
      <sharedItems containsSemiMixedTypes="0" containsString="0" containsNumber="1" containsInteger="1" minValue="1" maxValue="6" count="6">
        <n v="3"/>
        <n v="5"/>
        <n v="2"/>
        <n v="4"/>
        <n v="6"/>
        <n v="1"/>
      </sharedItems>
    </cacheField>
    <cacheField name="Discount" numFmtId="0">
      <sharedItems containsSemiMixedTypes="0" containsString="0" containsNumber="1" minValue="0" maxValue="0.15"/>
    </cacheField>
    <cacheField name="Profit" numFmtId="0">
      <sharedItems containsSemiMixedTypes="0" containsString="0" containsNumber="1" containsInteger="1" minValue="60" maxValue="420"/>
    </cacheField>
    <cacheField name="Customer_Satisfaction" numFmtId="0">
      <sharedItems containsSemiMixedTypes="0" containsString="0" containsNumber="1" minValue="3.7" maxValue="4.9000000000000004"/>
    </cacheField>
    <cacheField name="Net_Sales" numFmtId="0">
      <sharedItems containsSemiMixedTypes="0" containsString="0" containsNumber="1" minValue="470.4" maxValue="2805"/>
    </cacheField>
    <cacheField name="Profit_Margin_%" numFmtId="0">
      <sharedItems containsSemiMixedTypes="0" containsString="0" containsNumber="1" minValue="9.2321895676257881" maxValue="15.789473684210529"/>
    </cacheField>
    <cacheField name="Satisfaction_Bucket" numFmtId="0">
      <sharedItems/>
    </cacheField>
    <cacheField name="Months" numFmtId="0" databaseField="0">
      <fieldGroup base="6">
        <rangePr groupBy="months" startDate="2024-11-02T00:00:00" endDate="2024-12-05T00:00:00"/>
        <groupItems count="14">
          <s v="&lt;11/2/2024"/>
          <s v="Jan"/>
          <s v="Feb"/>
          <s v="Mar"/>
          <s v="Apr"/>
          <s v="May"/>
          <s v="Jun"/>
          <s v="Jul"/>
          <s v="Aug"/>
          <s v="Sep"/>
          <s v="Oct"/>
          <s v="Nov"/>
          <s v="Dec"/>
          <s v="&gt;12/5/2024"/>
        </groupItems>
      </fieldGroup>
    </cacheField>
  </cacheFields>
  <extLst>
    <ext xmlns:x14="http://schemas.microsoft.com/office/spreadsheetml/2009/9/main" uri="{725AE2AE-9491-48be-B2B4-4EB974FC3084}">
      <x14:pivotCacheDefinition pivotCacheId="1676174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C001"/>
    <x v="0"/>
    <x v="0"/>
    <s v="Consumer"/>
    <x v="0"/>
    <x v="0"/>
    <x v="0"/>
    <n v="1200"/>
    <x v="0"/>
    <n v="0.05"/>
    <n v="180"/>
    <n v="4.2"/>
    <n v="1140"/>
    <n v="15.789473684210529"/>
    <s v="Good (4.0–4.5]"/>
  </r>
  <r>
    <s v="C002"/>
    <x v="1"/>
    <x v="1"/>
    <s v="Corporate"/>
    <x v="1"/>
    <x v="1"/>
    <x v="1"/>
    <n v="2450"/>
    <x v="1"/>
    <n v="0.1"/>
    <n v="340"/>
    <n v="4.8"/>
    <n v="2205"/>
    <n v="15.41950113378685"/>
    <s v="Excellent (&gt;4.5]"/>
  </r>
  <r>
    <s v="C003"/>
    <x v="2"/>
    <x v="2"/>
    <s v="Home Office"/>
    <x v="2"/>
    <x v="2"/>
    <x v="2"/>
    <n v="560"/>
    <x v="2"/>
    <n v="0"/>
    <n v="75"/>
    <n v="3.9"/>
    <n v="560"/>
    <n v="13.392857142857141"/>
    <s v="Medium (3.5–4.0]"/>
  </r>
  <r>
    <s v="C004"/>
    <x v="3"/>
    <x v="3"/>
    <s v="Consumer"/>
    <x v="3"/>
    <x v="3"/>
    <x v="3"/>
    <n v="880"/>
    <x v="3"/>
    <n v="7.0000000000000007E-2"/>
    <n v="120"/>
    <n v="4.5"/>
    <n v="818.4"/>
    <n v="14.66275659824047"/>
    <s v="Good (4.0–4.5]"/>
  </r>
  <r>
    <s v="C005"/>
    <x v="4"/>
    <x v="0"/>
    <s v="Corporate"/>
    <x v="0"/>
    <x v="4"/>
    <x v="4"/>
    <n v="3300"/>
    <x v="4"/>
    <n v="0.15"/>
    <n v="420"/>
    <n v="4.5999999999999996"/>
    <n v="2805"/>
    <n v="14.973262032085559"/>
    <s v="Excellent (&gt;4.5]"/>
  </r>
  <r>
    <s v="C006"/>
    <x v="5"/>
    <x v="1"/>
    <s v="Consumer"/>
    <x v="4"/>
    <x v="5"/>
    <x v="5"/>
    <n v="750"/>
    <x v="0"/>
    <n v="0.05"/>
    <n v="90"/>
    <n v="3.7"/>
    <n v="712.5"/>
    <n v="12.631578947368419"/>
    <s v="Medium (3.5–4.0]"/>
  </r>
  <r>
    <s v="C007"/>
    <x v="6"/>
    <x v="2"/>
    <s v="Home Office"/>
    <x v="1"/>
    <x v="6"/>
    <x v="6"/>
    <n v="1580"/>
    <x v="2"/>
    <n v="0"/>
    <n v="200"/>
    <n v="4.9000000000000004"/>
    <n v="1580"/>
    <n v="12.658227848101269"/>
    <s v="Excellent (&gt;4.5]"/>
  </r>
  <r>
    <s v="C008"/>
    <x v="7"/>
    <x v="0"/>
    <s v="Corporate"/>
    <x v="2"/>
    <x v="7"/>
    <x v="7"/>
    <n v="670"/>
    <x v="5"/>
    <n v="0.03"/>
    <n v="60"/>
    <n v="4.0999999999999996"/>
    <n v="649.9"/>
    <n v="9.2321895676257881"/>
    <s v="Good (4.0–4.5]"/>
  </r>
  <r>
    <s v="C009"/>
    <x v="8"/>
    <x v="3"/>
    <s v="Consumer"/>
    <x v="0"/>
    <x v="8"/>
    <x v="8"/>
    <n v="2200"/>
    <x v="3"/>
    <n v="0.05"/>
    <n v="310"/>
    <n v="4.4000000000000004"/>
    <n v="2090"/>
    <n v="14.832535885167459"/>
    <s v="Good (4.0–4.5]"/>
  </r>
  <r>
    <s v="C010"/>
    <x v="9"/>
    <x v="1"/>
    <s v="Corporate"/>
    <x v="1"/>
    <x v="9"/>
    <x v="9"/>
    <n v="1850"/>
    <x v="2"/>
    <n v="0"/>
    <n v="250"/>
    <n v="4.7"/>
    <n v="1850"/>
    <n v="13.51351351351351"/>
    <s v="Excellent (&gt;4.5]"/>
  </r>
  <r>
    <s v="C011"/>
    <x v="10"/>
    <x v="0"/>
    <s v="Consumer"/>
    <x v="5"/>
    <x v="10"/>
    <x v="10"/>
    <n v="950"/>
    <x v="0"/>
    <n v="0.08"/>
    <n v="100"/>
    <n v="3.8"/>
    <n v="874"/>
    <n v="11.441647597254009"/>
    <s v="Medium (3.5–4.0]"/>
  </r>
  <r>
    <s v="C012"/>
    <x v="11"/>
    <x v="2"/>
    <s v="Home Office"/>
    <x v="4"/>
    <x v="11"/>
    <x v="11"/>
    <n v="480"/>
    <x v="2"/>
    <n v="0.02"/>
    <n v="60"/>
    <n v="4.5999999999999996"/>
    <n v="470.4"/>
    <n v="12.755102040816331"/>
    <s v="Excellent (&gt;4.5]"/>
  </r>
  <r>
    <s v="C013"/>
    <x v="12"/>
    <x v="3"/>
    <s v="Corporate"/>
    <x v="3"/>
    <x v="12"/>
    <x v="12"/>
    <n v="1050"/>
    <x v="1"/>
    <n v="0.05"/>
    <n v="140"/>
    <n v="4.3"/>
    <n v="997.5"/>
    <n v="14.03508771929824"/>
    <s v="Good (4.0–4.5]"/>
  </r>
  <r>
    <s v="C014"/>
    <x v="13"/>
    <x v="0"/>
    <s v="Consumer"/>
    <x v="0"/>
    <x v="13"/>
    <x v="13"/>
    <n v="2600"/>
    <x v="3"/>
    <n v="0.1"/>
    <n v="350"/>
    <n v="4.9000000000000004"/>
    <n v="2340"/>
    <n v="14.957264957264959"/>
    <s v="Excellent (&gt;4.5]"/>
  </r>
  <r>
    <s v="C015"/>
    <x v="14"/>
    <x v="1"/>
    <s v="Corporate"/>
    <x v="2"/>
    <x v="14"/>
    <x v="14"/>
    <n v="740"/>
    <x v="0"/>
    <n v="0"/>
    <n v="95"/>
    <n v="4.2"/>
    <n v="740"/>
    <n v="12.83783783783784"/>
    <s v="Good (4.0–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02E5C1-ECFE-4400-96F6-B049B4BFB0F9}" name="Total Net Sale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1:A12" firstHeaderRow="1" firstDataRow="1" firstDataCol="0"/>
  <pivotFields count="16">
    <pivotField showAll="0"/>
    <pivotField showAll="0"/>
    <pivotField showAll="0"/>
    <pivotField showAll="0"/>
    <pivotField showAll="0">
      <items count="7">
        <item x="4"/>
        <item x="3"/>
        <item x="0"/>
        <item x="1"/>
        <item x="5"/>
        <item x="2"/>
        <item t="default"/>
      </items>
    </pivotField>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Net Sales" fld="12" baseField="0" baseItem="36"/>
  </dataField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676475-FCC9-425C-8D30-24A07D13D19F}" name="Total Sale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16">
    <pivotField showAll="0"/>
    <pivotField showAll="0"/>
    <pivotField showAll="0"/>
    <pivotField showAll="0"/>
    <pivotField showAll="0">
      <items count="7">
        <item x="4"/>
        <item x="3"/>
        <item x="0"/>
        <item x="1"/>
        <item x="5"/>
        <item x="2"/>
        <item t="default"/>
      </items>
    </pivotField>
    <pivotField showAll="0">
      <items count="16">
        <item x="0"/>
        <item x="1"/>
        <item x="2"/>
        <item x="3"/>
        <item x="4"/>
        <item x="5"/>
        <item x="6"/>
        <item x="7"/>
        <item x="8"/>
        <item x="9"/>
        <item x="10"/>
        <item x="11"/>
        <item x="12"/>
        <item x="13"/>
        <item x="14"/>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7" baseField="0" baseItem="174"/>
  </dataField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DCE4C0-4C3D-491D-8791-D84BC60D5928}"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5:B132" firstHeaderRow="1" firstDataRow="1" firstDataCol="1"/>
  <pivotFields count="16">
    <pivotField showAll="0"/>
    <pivotField showAll="0"/>
    <pivotField showAll="0"/>
    <pivotField showAll="0"/>
    <pivotField axis="axisRow" showAll="0">
      <items count="7">
        <item x="4"/>
        <item x="3"/>
        <item x="0"/>
        <item x="1"/>
        <item x="5"/>
        <item x="2"/>
        <item t="default"/>
      </items>
    </pivotField>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Total Profit" fld="10"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D146D2-1473-4747-96EA-27A190B708AC}" name="AVG. of Customer satisfaction"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1:A22" firstHeaderRow="1" firstDataRow="1" firstDataCol="0"/>
  <pivotFields count="16">
    <pivotField showAll="0"/>
    <pivotField showAll="0"/>
    <pivotField showAll="0"/>
    <pivotField showAll="0"/>
    <pivotField showAll="0">
      <items count="7">
        <item x="4"/>
        <item x="3"/>
        <item x="0"/>
        <item x="1"/>
        <item x="5"/>
        <item x="2"/>
        <item t="default"/>
      </items>
    </pivotField>
    <pivotField showAll="0">
      <items count="16">
        <item x="0"/>
        <item x="1"/>
        <item x="2"/>
        <item x="3"/>
        <item x="4"/>
        <item x="5"/>
        <item x="6"/>
        <item x="7"/>
        <item x="8"/>
        <item x="9"/>
        <item x="10"/>
        <item x="11"/>
        <item x="12"/>
        <item x="13"/>
        <item x="14"/>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ustomer Satisfaction" fld="11" subtotal="average" baseField="0" baseItem="133"/>
  </dataField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3D9E77-7482-44FB-AC5E-F1C6EBB0C719}" name="Profit By Product Category"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Category">
  <location ref="A83:B90" firstHeaderRow="1" firstDataRow="1" firstDataCol="1"/>
  <pivotFields count="16">
    <pivotField showAll="0"/>
    <pivotField showAll="0">
      <items count="16">
        <item x="0"/>
        <item x="8"/>
        <item x="12"/>
        <item x="6"/>
        <item x="14"/>
        <item x="4"/>
        <item x="3"/>
        <item x="2"/>
        <item x="5"/>
        <item x="11"/>
        <item x="9"/>
        <item x="7"/>
        <item x="13"/>
        <item x="1"/>
        <item x="10"/>
        <item t="default"/>
      </items>
    </pivotField>
    <pivotField showAll="0"/>
    <pivotField showAll="0"/>
    <pivotField axis="axisRow" showAll="0">
      <items count="7">
        <item x="4"/>
        <item x="3"/>
        <item x="0"/>
        <item x="1"/>
        <item x="5"/>
        <item x="2"/>
        <item t="default"/>
      </items>
    </pivotField>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x="11"/>
        <item x="12"/>
        <item sd="0" x="13"/>
        <item t="default"/>
      </items>
    </pivotField>
  </pivotFields>
  <rowFields count="1">
    <field x="4"/>
  </rowFields>
  <rowItems count="7">
    <i>
      <x/>
    </i>
    <i>
      <x v="1"/>
    </i>
    <i>
      <x v="2"/>
    </i>
    <i>
      <x v="3"/>
    </i>
    <i>
      <x v="4"/>
    </i>
    <i>
      <x v="5"/>
    </i>
    <i t="grand">
      <x/>
    </i>
  </rowItems>
  <colItems count="1">
    <i/>
  </colItems>
  <dataFields count="1">
    <dataField name="Total Profit" fld="10" baseField="4" baseItem="0"/>
  </dataFields>
  <formats count="1">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5F55E5-1B53-45EA-B5AB-B4FE15733BC3}" name="Total Profit"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5:A16" firstHeaderRow="1" firstDataRow="1" firstDataCol="0"/>
  <pivotFields count="16">
    <pivotField showAll="0"/>
    <pivotField showAll="0"/>
    <pivotField showAll="0"/>
    <pivotField showAll="0"/>
    <pivotField showAll="0">
      <items count="7">
        <item x="4"/>
        <item x="3"/>
        <item x="0"/>
        <item x="1"/>
        <item x="5"/>
        <item x="2"/>
        <item t="default"/>
      </items>
    </pivotField>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Profit" fld="10" baseField="0" baseItem="172"/>
  </dataField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52F56B-5B23-460F-9E20-159845230E40}" name="AVG. of Profit Margin"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8:A19" firstHeaderRow="1" firstDataRow="1" firstDataCol="0"/>
  <pivotFields count="16">
    <pivotField showAll="0"/>
    <pivotField showAll="0"/>
    <pivotField showAll="0"/>
    <pivotField showAll="0"/>
    <pivotField showAll="0">
      <items count="7">
        <item x="4"/>
        <item x="3"/>
        <item x="0"/>
        <item x="1"/>
        <item x="5"/>
        <item x="2"/>
        <item t="default"/>
      </items>
    </pivotField>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7">
        <item x="5"/>
        <item x="2"/>
        <item x="0"/>
        <item x="3"/>
        <item x="1"/>
        <item x="4"/>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rofit Margin" fld="13" subtotal="average" baseField="0" baseItem="125"/>
  </dataField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B5E24E-BA5A-4FA0-96AB-3A14033A24E1}" name="Total Order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L4:L5" firstHeaderRow="1" firstDataRow="1" firstDataCol="0"/>
  <pivotFields count="16">
    <pivotField showAll="0"/>
    <pivotField showAll="0"/>
    <pivotField showAll="0"/>
    <pivotField showAll="0"/>
    <pivotField showAll="0">
      <items count="7">
        <item x="4"/>
        <item x="3"/>
        <item x="0"/>
        <item x="1"/>
        <item x="5"/>
        <item x="2"/>
        <item t="default"/>
      </items>
    </pivotField>
    <pivotField dataField="1" showAll="0">
      <items count="16">
        <item x="0"/>
        <item x="1"/>
        <item x="2"/>
        <item x="3"/>
        <item x="4"/>
        <item x="5"/>
        <item x="6"/>
        <item x="7"/>
        <item x="8"/>
        <item x="9"/>
        <item x="10"/>
        <item x="11"/>
        <item x="12"/>
        <item x="13"/>
        <item x="14"/>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5" subtotal="count" baseField="0" baseItem="199"/>
  </dataFields>
  <formats count="1">
    <format dxfId="1">
      <pivotArea outline="0" collapsedLevelsAreSubtotals="1" fieldPosition="0"/>
    </format>
  </format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382DDA-BA6F-4244-80A0-250DE1DDC054}" name="Sales By Dat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rowHeaderCaption="Date">
  <location ref="A45:B63" firstHeaderRow="1" firstDataRow="1" firstDataCol="1"/>
  <pivotFields count="16">
    <pivotField showAll="0"/>
    <pivotField showAll="0">
      <items count="16">
        <item x="0"/>
        <item x="8"/>
        <item x="12"/>
        <item x="6"/>
        <item x="14"/>
        <item x="4"/>
        <item x="3"/>
        <item x="2"/>
        <item x="5"/>
        <item x="11"/>
        <item x="9"/>
        <item x="7"/>
        <item x="13"/>
        <item x="1"/>
        <item x="10"/>
        <item t="default"/>
      </items>
    </pivotField>
    <pivotField showAll="0">
      <items count="5">
        <item x="0"/>
        <item x="3"/>
        <item x="1"/>
        <item x="2"/>
        <item t="default"/>
      </items>
    </pivotField>
    <pivotField showAll="0"/>
    <pivotField showAll="0">
      <items count="7">
        <item x="4"/>
        <item x="3"/>
        <item x="0"/>
        <item x="1"/>
        <item x="5"/>
        <item x="2"/>
        <item t="default"/>
      </items>
    </pivotField>
    <pivotField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x="11"/>
        <item x="12"/>
        <item sd="0" x="13"/>
        <item t="default"/>
      </items>
    </pivotField>
  </pivotFields>
  <rowFields count="2">
    <field x="15"/>
    <field x="6"/>
  </rowFields>
  <rowItems count="18">
    <i>
      <x v="11"/>
    </i>
    <i r="1">
      <x v="307"/>
    </i>
    <i r="1">
      <x v="310"/>
    </i>
    <i r="1">
      <x v="315"/>
    </i>
    <i r="1">
      <x v="318"/>
    </i>
    <i r="1">
      <x v="321"/>
    </i>
    <i r="1">
      <x v="324"/>
    </i>
    <i r="1">
      <x v="326"/>
    </i>
    <i r="1">
      <x v="328"/>
    </i>
    <i r="1">
      <x v="330"/>
    </i>
    <i r="1">
      <x v="332"/>
    </i>
    <i r="1">
      <x v="334"/>
    </i>
    <i>
      <x v="12"/>
    </i>
    <i r="1">
      <x v="336"/>
    </i>
    <i r="1">
      <x v="337"/>
    </i>
    <i r="1">
      <x v="338"/>
    </i>
    <i r="1">
      <x v="339"/>
    </i>
    <i t="grand">
      <x/>
    </i>
  </rowItems>
  <colItems count="1">
    <i/>
  </colItems>
  <dataFields count="1">
    <dataField name="Total Sales" fld="7" baseField="15" baseItem="11"/>
  </dataFields>
  <formats count="1">
    <format dxfId="2">
      <pivotArea dataOnly="0" labelOnly="1" outline="0" axis="axisValues" fieldPosition="0"/>
    </format>
  </formats>
  <chartFormats count="2">
    <chartFormat chart="6"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AAFADC-C0ED-499A-A7C0-62BC779A3764}"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Country">
  <location ref="O30:P35" firstHeaderRow="1" firstDataRow="1" firstDataCol="1"/>
  <pivotFields count="16">
    <pivotField showAll="0"/>
    <pivotField showAll="0"/>
    <pivotField axis="axisRow" showAll="0">
      <items count="5">
        <item x="0"/>
        <item x="3"/>
        <item x="1"/>
        <item x="2"/>
        <item t="default"/>
      </items>
    </pivotField>
    <pivotField showAll="0"/>
    <pivotField showAll="0">
      <items count="7">
        <item x="4"/>
        <item x="3"/>
        <item x="0"/>
        <item x="1"/>
        <item x="5"/>
        <item x="2"/>
        <item t="default"/>
      </items>
    </pivotField>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Total Sales" fld="7" baseField="2" baseItem="0"/>
  </dataFields>
  <formats count="1">
    <format dxfId="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440AF8-1D84-444B-99D9-B8F85EBCC4AF}" name="Sales By Country"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Country">
  <location ref="A30:B35" firstHeaderRow="1" firstDataRow="1" firstDataCol="1"/>
  <pivotFields count="16">
    <pivotField showAll="0"/>
    <pivotField showAll="0"/>
    <pivotField axis="axisRow" showAll="0">
      <items count="5">
        <item x="0"/>
        <item x="3"/>
        <item x="1"/>
        <item x="2"/>
        <item t="default"/>
      </items>
    </pivotField>
    <pivotField showAll="0"/>
    <pivotField showAll="0">
      <items count="7">
        <item x="4"/>
        <item x="3"/>
        <item x="0"/>
        <item x="1"/>
        <item x="5"/>
        <item x="2"/>
        <item t="default"/>
      </items>
    </pivotField>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Total Sales" fld="7" baseField="2" baseItem="0"/>
  </dataFields>
  <formats count="1">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10" name="Order_Date">
      <autoFilter ref="A1">
        <filterColumn colId="0">
          <customFilters and="1">
            <customFilter operator="greaterThanOrEqual" val="455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 xr16:uid="{CDD0A36D-FC05-41C1-BAE3-5256F331D7D5}" autoFormatId="16" applyNumberFormats="0" applyBorderFormats="0" applyFontFormats="0" applyPatternFormats="0" applyAlignmentFormats="0" applyWidthHeightFormats="0">
  <queryTableRefresh nextId="16">
    <queryTableFields count="15">
      <queryTableField id="1" name="Customer_ID" tableColumnId="1"/>
      <queryTableField id="2" name="Customer_Name" tableColumnId="2"/>
      <queryTableField id="3" name="Country" tableColumnId="3"/>
      <queryTableField id="4" name="Segment" tableColumnId="4"/>
      <queryTableField id="5" name="Product_Category" tableColumnId="5"/>
      <queryTableField id="6" name="Order_ID" tableColumnId="6"/>
      <queryTableField id="7" name="Order_Date" tableColumnId="7"/>
      <queryTableField id="8" name="Sales" tableColumnId="8"/>
      <queryTableField id="9" name="Quantity" tableColumnId="9"/>
      <queryTableField id="10" name="Discount" tableColumnId="10"/>
      <queryTableField id="11" name="Profit" tableColumnId="11"/>
      <queryTableField id="12" name="Customer_Satisfaction" tableColumnId="12"/>
      <queryTableField id="13" name="Net_Sales" tableColumnId="13"/>
      <queryTableField id="14" name="Profit_Margin_%" tableColumnId="14"/>
      <queryTableField id="15" name="Satisfaction_Bucket"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9" connectionId="5" xr16:uid="{C10F5808-51C5-46C9-80CE-204461078DFE}" autoFormatId="16" applyNumberFormats="0" applyBorderFormats="0" applyFontFormats="0" applyPatternFormats="0" applyAlignmentFormats="0" applyWidthHeightFormats="0">
  <queryTableRefresh nextId="3">
    <queryTableFields count="2">
      <queryTableField id="1" name="Country" tableColumnId="1"/>
      <queryTableField id="2" name="Net_Sale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4" xr16:uid="{951B30AB-62A2-4940-8506-1DD208155DAB}" autoFormatId="16" applyNumberFormats="0" applyBorderFormats="0" applyFontFormats="0" applyPatternFormats="0" applyAlignmentFormats="0" applyWidthHeightFormats="0">
  <queryTableRefresh nextId="3">
    <queryTableFields count="2">
      <queryTableField id="1" name="Product_Category" tableColumnId="1"/>
      <queryTableField id="2" name="Prof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2" xr16:uid="{2AFC2322-FCD5-4EC6-8295-DD9265EC989E}" autoFormatId="16" applyNumberFormats="0" applyBorderFormats="0" applyFontFormats="0" applyPatternFormats="0" applyAlignmentFormats="0" applyWidthHeightFormats="0">
  <queryTableRefresh nextId="3">
    <queryTableFields count="2">
      <queryTableField id="1" name="Metric" tableColumnId="1"/>
      <queryTableField id="2" name="Valu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0D78802-F02C-4E9A-ACA6-91D11B921253}" sourceName="Product_Category">
  <pivotTables>
    <pivotTable tabId="12" name="Sales By Country"/>
    <pivotTable tabId="12" name="AVG. of Customer satisfaction"/>
    <pivotTable tabId="12" name="AVG. of Profit Margin"/>
    <pivotTable tabId="12" name="Profit By Product Category"/>
    <pivotTable tabId="12" name="Sales By Date"/>
    <pivotTable tabId="12" name="Total Net Sales"/>
    <pivotTable tabId="12" name="Total Orders"/>
    <pivotTable tabId="12" name="Total Profit"/>
    <pivotTable tabId="12" name="Total Sales"/>
    <pivotTable tabId="12" name="PivotTable1"/>
  </pivotTables>
  <data>
    <tabular pivotCacheId="1676174600">
      <items count="6">
        <i x="4" s="1"/>
        <i x="3" s="1"/>
        <i x="0"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36105F8-89F3-470B-9F11-387AED83D600}" cache="Slicer_Product_Category" caption="Product_Category"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C12915B6-6BFA-4DC4-BB17-508CDEF5976C}" cache="Slicer_Product_Category" caption="Product_Category"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3EF08EF-6AA2-4DED-BEBA-AFBC2003954F}" name="cleaned_data" displayName="cleaned_data" ref="A1:O16" tableType="queryTable" totalsRowShown="0">
  <autoFilter ref="A1:O16" xr:uid="{C3EF08EF-6AA2-4DED-BEBA-AFBC2003954F}"/>
  <tableColumns count="15">
    <tableColumn id="1" xr3:uid="{5090F871-D722-4DFC-8AED-179BDE40C227}" uniqueName="1" name="Customer_ID" queryTableFieldId="1" dataDxfId="15"/>
    <tableColumn id="2" xr3:uid="{391DB21B-7757-439D-A151-DDE98873E069}" uniqueName="2" name="Customer_Name" queryTableFieldId="2" dataDxfId="14"/>
    <tableColumn id="3" xr3:uid="{B0614068-D347-42F2-8173-24F21DE8FF3F}" uniqueName="3" name="Country" queryTableFieldId="3" dataDxfId="13"/>
    <tableColumn id="4" xr3:uid="{38A46BA5-C305-4CE6-9CC0-F977E716FB7F}" uniqueName="4" name="Segment" queryTableFieldId="4" dataDxfId="12"/>
    <tableColumn id="5" xr3:uid="{05B600E3-B8B4-4B94-B4A6-54B9FAAE8A7C}" uniqueName="5" name="Product_Category" queryTableFieldId="5" dataDxfId="11"/>
    <tableColumn id="6" xr3:uid="{DE6F5A1B-78C8-40F7-A37B-9D21053E1C76}" uniqueName="6" name="Order_ID" queryTableFieldId="6" dataDxfId="10"/>
    <tableColumn id="7" xr3:uid="{890273EF-7049-4021-B329-E8EF24922093}" uniqueName="7" name="Order_Date" queryTableFieldId="7" dataDxfId="9"/>
    <tableColumn id="8" xr3:uid="{F4D6198E-88C5-4259-8015-ADE1487049E5}" uniqueName="8" name="Sales" queryTableFieldId="8"/>
    <tableColumn id="9" xr3:uid="{965D2441-7FED-49C2-855D-61A6CD76BEF4}" uniqueName="9" name="Quantity" queryTableFieldId="9"/>
    <tableColumn id="10" xr3:uid="{18DDEAC2-49FE-405D-8458-5CC38144AE2E}" uniqueName="10" name="Discount" queryTableFieldId="10"/>
    <tableColumn id="11" xr3:uid="{3059D74F-FF88-4D88-A69B-19A6485E481F}" uniqueName="11" name="Profit" queryTableFieldId="11"/>
    <tableColumn id="12" xr3:uid="{E812F217-758A-4A3E-A6B4-E1DDDA8C1E79}" uniqueName="12" name="Customer_Satisfaction" queryTableFieldId="12"/>
    <tableColumn id="13" xr3:uid="{4D782530-2645-4DE1-8BDA-C2F4B5A29AF1}" uniqueName="13" name="Net_Sales" queryTableFieldId="13"/>
    <tableColumn id="14" xr3:uid="{873BB777-C785-4644-8205-177A1B7AF7D4}" uniqueName="14" name="Profit_Margin_%" queryTableFieldId="14"/>
    <tableColumn id="15" xr3:uid="{937277C8-0278-489B-BE02-1A12F74BCC69}" uniqueName="15" name="Satisfaction_Bucket" queryTableFieldId="1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F7ABBD-D9AE-450F-AC8D-0DA01F0BD962}" name="sales_by_country" displayName="sales_by_country" ref="A1:B5" tableType="queryTable" totalsRowShown="0">
  <autoFilter ref="A1:B5" xr:uid="{BAF7ABBD-D9AE-450F-AC8D-0DA01F0BD962}"/>
  <tableColumns count="2">
    <tableColumn id="1" xr3:uid="{18515F20-7F9D-44AC-A121-8DEC5E4FCA71}" uniqueName="1" name="Country" queryTableFieldId="1" dataDxfId="7"/>
    <tableColumn id="2" xr3:uid="{47E17490-5E81-45CD-82F5-6E545C95153E}" uniqueName="2" name="Net_Sales"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77D329-C3C8-4559-84EA-1B6BDFA9CD4E}" name="profit_by_category" displayName="profit_by_category" ref="A1:B7" tableType="queryTable" totalsRowShown="0">
  <autoFilter ref="A1:B7" xr:uid="{6277D329-C3C8-4559-84EA-1B6BDFA9CD4E}"/>
  <tableColumns count="2">
    <tableColumn id="1" xr3:uid="{1791A704-AEBF-41AF-B6E0-3D79E7AE11FB}" uniqueName="1" name="Product_Category" queryTableFieldId="1" dataDxfId="6"/>
    <tableColumn id="2" xr3:uid="{3CC7DCCE-CBB3-4B74-BCEF-19FC0522AA3A}" uniqueName="2" name="Prof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D593BE-E655-45F1-9F38-F101A826F3B5}" name="kpi_summary" displayName="kpi_summary" ref="A1:B7" tableType="queryTable" totalsRowShown="0">
  <autoFilter ref="A1:B7" xr:uid="{FAD593BE-E655-45F1-9F38-F101A826F3B5}"/>
  <tableColumns count="2">
    <tableColumn id="1" xr3:uid="{8DFD0523-B6AE-440D-BB56-B30923A7F8ED}" uniqueName="1" name="Metric" queryTableFieldId="1" dataDxfId="5"/>
    <tableColumn id="2" xr3:uid="{C090018F-B34B-4334-ACAB-85B95FEB2E6D}" uniqueName="2" name="Valu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FDF8215-00C0-44BF-98E4-321AC45CA805}" sourceName="Order_Date">
  <pivotTables>
    <pivotTable tabId="12" name="AVG. of Profit Margin"/>
    <pivotTable tabId="12" name="AVG. of Customer satisfaction"/>
    <pivotTable tabId="12" name="Profit By Product Category"/>
    <pivotTable tabId="12" name="Sales By Country"/>
    <pivotTable tabId="12" name="Sales By Date"/>
    <pivotTable tabId="12" name="Total Net Sales"/>
    <pivotTable tabId="12" name="Total Orders"/>
    <pivotTable tabId="12" name="Total Profit"/>
    <pivotTable tabId="12" name="Total Sales"/>
    <pivotTable tabId="12" name="PivotTable1"/>
  </pivotTables>
  <state minimalRefreshVersion="6" lastRefreshVersion="6" pivotCacheId="1676174600" filterType="dateBetween">
    <selection startDate="2024-1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5D72BD6-6EEC-4D21-AE18-9C268042D036}" cache="NativeTimeline_Order_Date" caption="Order_Date" level="3" selectionLevel="2" scrollPosition="2024-11-26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008715B5-1088-4E45-A96A-36F6B6070FAF}" cache="NativeTimeline_Order_Date" caption="Order_Date" level="2" selectionLevel="2" scrollPosition="2024-07-13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E66F6-3594-4438-BF63-D2C6AE46FE5F}">
  <dimension ref="A1:O16"/>
  <sheetViews>
    <sheetView workbookViewId="0">
      <selection activeCell="E12" sqref="E12"/>
    </sheetView>
  </sheetViews>
  <sheetFormatPr defaultRowHeight="14.4" x14ac:dyDescent="0.3"/>
  <cols>
    <col min="1" max="1" width="14.109375" bestFit="1" customWidth="1"/>
    <col min="2" max="2" width="17.44140625" bestFit="1" customWidth="1"/>
    <col min="3" max="3" width="11" bestFit="1" customWidth="1"/>
    <col min="4" max="4" width="11.33203125" bestFit="1" customWidth="1"/>
    <col min="5" max="5" width="18.5546875" bestFit="1" customWidth="1"/>
    <col min="6" max="6" width="10.77734375" bestFit="1" customWidth="1"/>
    <col min="7" max="7" width="14.6640625" bestFit="1" customWidth="1"/>
    <col min="8" max="8" width="7.44140625" bestFit="1" customWidth="1"/>
    <col min="9" max="10" width="10.5546875" bestFit="1" customWidth="1"/>
    <col min="11" max="11" width="7.88671875" bestFit="1" customWidth="1"/>
    <col min="12" max="12" width="22.33203125" bestFit="1" customWidth="1"/>
    <col min="13" max="13" width="11.44140625" bestFit="1" customWidth="1"/>
    <col min="14" max="14" width="17.44140625" bestFit="1" customWidth="1"/>
    <col min="15" max="15" width="20"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82</v>
      </c>
    </row>
    <row r="2" spans="1:15" x14ac:dyDescent="0.3">
      <c r="A2" s="1" t="s">
        <v>14</v>
      </c>
      <c r="B2" s="1" t="s">
        <v>15</v>
      </c>
      <c r="C2" s="1" t="s">
        <v>16</v>
      </c>
      <c r="D2" s="1" t="s">
        <v>17</v>
      </c>
      <c r="E2" s="1" t="s">
        <v>18</v>
      </c>
      <c r="F2" s="1" t="s">
        <v>19</v>
      </c>
      <c r="G2" s="2">
        <v>45598</v>
      </c>
      <c r="H2">
        <v>1200</v>
      </c>
      <c r="I2">
        <v>3</v>
      </c>
      <c r="J2">
        <v>0.05</v>
      </c>
      <c r="K2">
        <v>180</v>
      </c>
      <c r="L2">
        <v>4.2</v>
      </c>
      <c r="M2">
        <v>1140</v>
      </c>
      <c r="N2">
        <v>15.789473684210529</v>
      </c>
      <c r="O2" s="1" t="s">
        <v>83</v>
      </c>
    </row>
    <row r="3" spans="1:15" x14ac:dyDescent="0.3">
      <c r="A3" s="1" t="s">
        <v>20</v>
      </c>
      <c r="B3" s="1" t="s">
        <v>21</v>
      </c>
      <c r="C3" s="1" t="s">
        <v>22</v>
      </c>
      <c r="D3" s="1" t="s">
        <v>23</v>
      </c>
      <c r="E3" s="1" t="s">
        <v>24</v>
      </c>
      <c r="F3" s="1" t="s">
        <v>25</v>
      </c>
      <c r="G3" s="2">
        <v>45601</v>
      </c>
      <c r="H3">
        <v>2450</v>
      </c>
      <c r="I3">
        <v>5</v>
      </c>
      <c r="J3">
        <v>0.1</v>
      </c>
      <c r="K3">
        <v>340</v>
      </c>
      <c r="L3">
        <v>4.8</v>
      </c>
      <c r="M3">
        <v>2205</v>
      </c>
      <c r="N3">
        <v>15.41950113378685</v>
      </c>
      <c r="O3" s="1" t="s">
        <v>84</v>
      </c>
    </row>
    <row r="4" spans="1:15" x14ac:dyDescent="0.3">
      <c r="A4" s="1" t="s">
        <v>26</v>
      </c>
      <c r="B4" s="1" t="s">
        <v>27</v>
      </c>
      <c r="C4" s="1" t="s">
        <v>28</v>
      </c>
      <c r="D4" s="1" t="s">
        <v>29</v>
      </c>
      <c r="E4" s="1" t="s">
        <v>30</v>
      </c>
      <c r="F4" s="1" t="s">
        <v>31</v>
      </c>
      <c r="G4" s="2">
        <v>45606</v>
      </c>
      <c r="H4">
        <v>560</v>
      </c>
      <c r="I4">
        <v>2</v>
      </c>
      <c r="J4">
        <v>0</v>
      </c>
      <c r="K4">
        <v>75</v>
      </c>
      <c r="L4">
        <v>3.9</v>
      </c>
      <c r="M4">
        <v>560</v>
      </c>
      <c r="N4">
        <v>13.392857142857141</v>
      </c>
      <c r="O4" s="1" t="s">
        <v>85</v>
      </c>
    </row>
    <row r="5" spans="1:15" x14ac:dyDescent="0.3">
      <c r="A5" s="1" t="s">
        <v>32</v>
      </c>
      <c r="B5" s="1" t="s">
        <v>33</v>
      </c>
      <c r="C5" s="1" t="s">
        <v>34</v>
      </c>
      <c r="D5" s="1" t="s">
        <v>17</v>
      </c>
      <c r="E5" s="1" t="s">
        <v>35</v>
      </c>
      <c r="F5" s="1" t="s">
        <v>36</v>
      </c>
      <c r="G5" s="2">
        <v>45609</v>
      </c>
      <c r="H5">
        <v>880</v>
      </c>
      <c r="I5">
        <v>4</v>
      </c>
      <c r="J5">
        <v>7.0000000000000007E-2</v>
      </c>
      <c r="K5">
        <v>120</v>
      </c>
      <c r="L5">
        <v>4.5</v>
      </c>
      <c r="M5">
        <v>818.4</v>
      </c>
      <c r="N5">
        <v>14.66275659824047</v>
      </c>
      <c r="O5" s="1" t="s">
        <v>83</v>
      </c>
    </row>
    <row r="6" spans="1:15" x14ac:dyDescent="0.3">
      <c r="A6" s="1" t="s">
        <v>37</v>
      </c>
      <c r="B6" s="1" t="s">
        <v>38</v>
      </c>
      <c r="C6" s="1" t="s">
        <v>16</v>
      </c>
      <c r="D6" s="1" t="s">
        <v>23</v>
      </c>
      <c r="E6" s="1" t="s">
        <v>18</v>
      </c>
      <c r="F6" s="1" t="s">
        <v>39</v>
      </c>
      <c r="G6" s="2">
        <v>45612</v>
      </c>
      <c r="H6">
        <v>3300</v>
      </c>
      <c r="I6">
        <v>6</v>
      </c>
      <c r="J6">
        <v>0.15</v>
      </c>
      <c r="K6">
        <v>420</v>
      </c>
      <c r="L6">
        <v>4.5999999999999996</v>
      </c>
      <c r="M6">
        <v>2805</v>
      </c>
      <c r="N6">
        <v>14.973262032085559</v>
      </c>
      <c r="O6" s="1" t="s">
        <v>84</v>
      </c>
    </row>
    <row r="7" spans="1:15" x14ac:dyDescent="0.3">
      <c r="A7" s="1" t="s">
        <v>40</v>
      </c>
      <c r="B7" s="1" t="s">
        <v>41</v>
      </c>
      <c r="C7" s="1" t="s">
        <v>22</v>
      </c>
      <c r="D7" s="1" t="s">
        <v>17</v>
      </c>
      <c r="E7" s="1" t="s">
        <v>42</v>
      </c>
      <c r="F7" s="1" t="s">
        <v>43</v>
      </c>
      <c r="G7" s="2">
        <v>45615</v>
      </c>
      <c r="H7">
        <v>750</v>
      </c>
      <c r="I7">
        <v>3</v>
      </c>
      <c r="J7">
        <v>0.05</v>
      </c>
      <c r="K7">
        <v>90</v>
      </c>
      <c r="L7">
        <v>3.7</v>
      </c>
      <c r="M7">
        <v>712.5</v>
      </c>
      <c r="N7">
        <v>12.631578947368419</v>
      </c>
      <c r="O7" s="1" t="s">
        <v>85</v>
      </c>
    </row>
    <row r="8" spans="1:15" x14ac:dyDescent="0.3">
      <c r="A8" s="1" t="s">
        <v>44</v>
      </c>
      <c r="B8" s="1" t="s">
        <v>45</v>
      </c>
      <c r="C8" s="1" t="s">
        <v>28</v>
      </c>
      <c r="D8" s="1" t="s">
        <v>29</v>
      </c>
      <c r="E8" s="1" t="s">
        <v>24</v>
      </c>
      <c r="F8" s="1" t="s">
        <v>46</v>
      </c>
      <c r="G8" s="2">
        <v>45617</v>
      </c>
      <c r="H8">
        <v>1580</v>
      </c>
      <c r="I8">
        <v>2</v>
      </c>
      <c r="J8">
        <v>0</v>
      </c>
      <c r="K8">
        <v>200</v>
      </c>
      <c r="L8">
        <v>4.9000000000000004</v>
      </c>
      <c r="M8">
        <v>1580</v>
      </c>
      <c r="N8">
        <v>12.658227848101269</v>
      </c>
      <c r="O8" s="1" t="s">
        <v>84</v>
      </c>
    </row>
    <row r="9" spans="1:15" x14ac:dyDescent="0.3">
      <c r="A9" s="1" t="s">
        <v>47</v>
      </c>
      <c r="B9" s="1" t="s">
        <v>48</v>
      </c>
      <c r="C9" s="1" t="s">
        <v>16</v>
      </c>
      <c r="D9" s="1" t="s">
        <v>23</v>
      </c>
      <c r="E9" s="1" t="s">
        <v>30</v>
      </c>
      <c r="F9" s="1" t="s">
        <v>49</v>
      </c>
      <c r="G9" s="2">
        <v>45619</v>
      </c>
      <c r="H9">
        <v>670</v>
      </c>
      <c r="I9">
        <v>1</v>
      </c>
      <c r="J9">
        <v>0.03</v>
      </c>
      <c r="K9">
        <v>60</v>
      </c>
      <c r="L9">
        <v>4.0999999999999996</v>
      </c>
      <c r="M9">
        <v>649.9</v>
      </c>
      <c r="N9">
        <v>9.2321895676257881</v>
      </c>
      <c r="O9" s="1" t="s">
        <v>83</v>
      </c>
    </row>
    <row r="10" spans="1:15" x14ac:dyDescent="0.3">
      <c r="A10" s="1" t="s">
        <v>50</v>
      </c>
      <c r="B10" s="1" t="s">
        <v>51</v>
      </c>
      <c r="C10" s="1" t="s">
        <v>34</v>
      </c>
      <c r="D10" s="1" t="s">
        <v>17</v>
      </c>
      <c r="E10" s="1" t="s">
        <v>18</v>
      </c>
      <c r="F10" s="1" t="s">
        <v>52</v>
      </c>
      <c r="G10" s="2">
        <v>45621</v>
      </c>
      <c r="H10">
        <v>2200</v>
      </c>
      <c r="I10">
        <v>4</v>
      </c>
      <c r="J10">
        <v>0.05</v>
      </c>
      <c r="K10">
        <v>310</v>
      </c>
      <c r="L10">
        <v>4.4000000000000004</v>
      </c>
      <c r="M10">
        <v>2090</v>
      </c>
      <c r="N10">
        <v>14.832535885167459</v>
      </c>
      <c r="O10" s="1" t="s">
        <v>83</v>
      </c>
    </row>
    <row r="11" spans="1:15" x14ac:dyDescent="0.3">
      <c r="A11" s="1" t="s">
        <v>53</v>
      </c>
      <c r="B11" s="1" t="s">
        <v>54</v>
      </c>
      <c r="C11" s="1" t="s">
        <v>22</v>
      </c>
      <c r="D11" s="1" t="s">
        <v>23</v>
      </c>
      <c r="E11" s="1" t="s">
        <v>24</v>
      </c>
      <c r="F11" s="1" t="s">
        <v>55</v>
      </c>
      <c r="G11" s="2">
        <v>45623</v>
      </c>
      <c r="H11">
        <v>1850</v>
      </c>
      <c r="I11">
        <v>2</v>
      </c>
      <c r="J11">
        <v>0</v>
      </c>
      <c r="K11">
        <v>250</v>
      </c>
      <c r="L11">
        <v>4.7</v>
      </c>
      <c r="M11">
        <v>1850</v>
      </c>
      <c r="N11">
        <v>13.51351351351351</v>
      </c>
      <c r="O11" s="1" t="s">
        <v>84</v>
      </c>
    </row>
    <row r="12" spans="1:15" x14ac:dyDescent="0.3">
      <c r="A12" s="1" t="s">
        <v>56</v>
      </c>
      <c r="B12" s="1" t="s">
        <v>57</v>
      </c>
      <c r="C12" s="1" t="s">
        <v>16</v>
      </c>
      <c r="D12" s="1" t="s">
        <v>17</v>
      </c>
      <c r="E12" s="1" t="s">
        <v>58</v>
      </c>
      <c r="F12" s="1" t="s">
        <v>59</v>
      </c>
      <c r="G12" s="2">
        <v>45625</v>
      </c>
      <c r="H12">
        <v>950</v>
      </c>
      <c r="I12">
        <v>3</v>
      </c>
      <c r="J12">
        <v>0.08</v>
      </c>
      <c r="K12">
        <v>100</v>
      </c>
      <c r="L12">
        <v>3.8</v>
      </c>
      <c r="M12">
        <v>874</v>
      </c>
      <c r="N12">
        <v>11.441647597254009</v>
      </c>
      <c r="O12" s="1" t="s">
        <v>85</v>
      </c>
    </row>
    <row r="13" spans="1:15" x14ac:dyDescent="0.3">
      <c r="A13" s="1" t="s">
        <v>60</v>
      </c>
      <c r="B13" s="1" t="s">
        <v>61</v>
      </c>
      <c r="C13" s="1" t="s">
        <v>28</v>
      </c>
      <c r="D13" s="1" t="s">
        <v>29</v>
      </c>
      <c r="E13" s="1" t="s">
        <v>42</v>
      </c>
      <c r="F13" s="1" t="s">
        <v>62</v>
      </c>
      <c r="G13" s="2">
        <v>45627</v>
      </c>
      <c r="H13">
        <v>480</v>
      </c>
      <c r="I13">
        <v>2</v>
      </c>
      <c r="J13">
        <v>0.02</v>
      </c>
      <c r="K13">
        <v>60</v>
      </c>
      <c r="L13">
        <v>4.5999999999999996</v>
      </c>
      <c r="M13">
        <v>470.4</v>
      </c>
      <c r="N13">
        <v>12.755102040816331</v>
      </c>
      <c r="O13" s="1" t="s">
        <v>84</v>
      </c>
    </row>
    <row r="14" spans="1:15" x14ac:dyDescent="0.3">
      <c r="A14" s="1" t="s">
        <v>63</v>
      </c>
      <c r="B14" s="1" t="s">
        <v>64</v>
      </c>
      <c r="C14" s="1" t="s">
        <v>34</v>
      </c>
      <c r="D14" s="1" t="s">
        <v>23</v>
      </c>
      <c r="E14" s="1" t="s">
        <v>35</v>
      </c>
      <c r="F14" s="1" t="s">
        <v>65</v>
      </c>
      <c r="G14" s="2">
        <v>45628</v>
      </c>
      <c r="H14">
        <v>1050</v>
      </c>
      <c r="I14">
        <v>5</v>
      </c>
      <c r="J14">
        <v>0.05</v>
      </c>
      <c r="K14">
        <v>140</v>
      </c>
      <c r="L14">
        <v>4.3</v>
      </c>
      <c r="M14">
        <v>997.5</v>
      </c>
      <c r="N14">
        <v>14.03508771929824</v>
      </c>
      <c r="O14" s="1" t="s">
        <v>83</v>
      </c>
    </row>
    <row r="15" spans="1:15" x14ac:dyDescent="0.3">
      <c r="A15" s="1" t="s">
        <v>66</v>
      </c>
      <c r="B15" s="1" t="s">
        <v>67</v>
      </c>
      <c r="C15" s="1" t="s">
        <v>16</v>
      </c>
      <c r="D15" s="1" t="s">
        <v>17</v>
      </c>
      <c r="E15" s="1" t="s">
        <v>18</v>
      </c>
      <c r="F15" s="1" t="s">
        <v>68</v>
      </c>
      <c r="G15" s="2">
        <v>45629</v>
      </c>
      <c r="H15">
        <v>2600</v>
      </c>
      <c r="I15">
        <v>4</v>
      </c>
      <c r="J15">
        <v>0.1</v>
      </c>
      <c r="K15">
        <v>350</v>
      </c>
      <c r="L15">
        <v>4.9000000000000004</v>
      </c>
      <c r="M15">
        <v>2340</v>
      </c>
      <c r="N15">
        <v>14.957264957264959</v>
      </c>
      <c r="O15" s="1" t="s">
        <v>84</v>
      </c>
    </row>
    <row r="16" spans="1:15" x14ac:dyDescent="0.3">
      <c r="A16" s="1" t="s">
        <v>69</v>
      </c>
      <c r="B16" s="1" t="s">
        <v>70</v>
      </c>
      <c r="C16" s="1" t="s">
        <v>22</v>
      </c>
      <c r="D16" s="1" t="s">
        <v>23</v>
      </c>
      <c r="E16" s="1" t="s">
        <v>30</v>
      </c>
      <c r="F16" s="1" t="s">
        <v>71</v>
      </c>
      <c r="G16" s="2">
        <v>45630</v>
      </c>
      <c r="H16">
        <v>740</v>
      </c>
      <c r="I16">
        <v>3</v>
      </c>
      <c r="J16">
        <v>0</v>
      </c>
      <c r="K16">
        <v>95</v>
      </c>
      <c r="L16">
        <v>4.2</v>
      </c>
      <c r="M16">
        <v>740</v>
      </c>
      <c r="N16">
        <v>12.83783783783784</v>
      </c>
      <c r="O16" s="1" t="s">
        <v>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ECD67-E8BB-4EF4-A2E8-6CDDCC25D729}">
  <dimension ref="A1:B5"/>
  <sheetViews>
    <sheetView zoomScaleNormal="100" workbookViewId="0">
      <selection activeCell="N7" sqref="N7"/>
    </sheetView>
  </sheetViews>
  <sheetFormatPr defaultRowHeight="14.4" x14ac:dyDescent="0.3"/>
  <cols>
    <col min="1" max="1" width="11" bestFit="1" customWidth="1"/>
    <col min="2" max="2" width="11.44140625" bestFit="1" customWidth="1"/>
  </cols>
  <sheetData>
    <row r="1" spans="1:2" x14ac:dyDescent="0.3">
      <c r="A1" t="s">
        <v>2</v>
      </c>
      <c r="B1" t="s">
        <v>12</v>
      </c>
    </row>
    <row r="2" spans="1:2" x14ac:dyDescent="0.3">
      <c r="A2" s="1" t="s">
        <v>16</v>
      </c>
      <c r="B2">
        <v>7808.9</v>
      </c>
    </row>
    <row r="3" spans="1:2" x14ac:dyDescent="0.3">
      <c r="A3" s="1" t="s">
        <v>22</v>
      </c>
      <c r="B3">
        <v>5507.5</v>
      </c>
    </row>
    <row r="4" spans="1:2" x14ac:dyDescent="0.3">
      <c r="A4" s="1" t="s">
        <v>34</v>
      </c>
      <c r="B4">
        <v>3905.9</v>
      </c>
    </row>
    <row r="5" spans="1:2" x14ac:dyDescent="0.3">
      <c r="A5" s="1" t="s">
        <v>28</v>
      </c>
      <c r="B5">
        <v>2610.4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7B9F9-92AC-42CE-A2B3-B84B6E51792C}">
  <dimension ref="A1:B7"/>
  <sheetViews>
    <sheetView workbookViewId="0"/>
  </sheetViews>
  <sheetFormatPr defaultRowHeight="14.4" x14ac:dyDescent="0.3"/>
  <cols>
    <col min="1" max="1" width="18.5546875" bestFit="1" customWidth="1"/>
    <col min="2" max="2" width="7.88671875" bestFit="1" customWidth="1"/>
  </cols>
  <sheetData>
    <row r="1" spans="1:2" x14ac:dyDescent="0.3">
      <c r="A1" t="s">
        <v>4</v>
      </c>
      <c r="B1" t="s">
        <v>10</v>
      </c>
    </row>
    <row r="2" spans="1:2" x14ac:dyDescent="0.3">
      <c r="A2" s="1" t="s">
        <v>18</v>
      </c>
      <c r="B2">
        <v>1260</v>
      </c>
    </row>
    <row r="3" spans="1:2" x14ac:dyDescent="0.3">
      <c r="A3" s="1" t="s">
        <v>24</v>
      </c>
      <c r="B3">
        <v>790</v>
      </c>
    </row>
    <row r="4" spans="1:2" x14ac:dyDescent="0.3">
      <c r="A4" s="1" t="s">
        <v>35</v>
      </c>
      <c r="B4">
        <v>260</v>
      </c>
    </row>
    <row r="5" spans="1:2" x14ac:dyDescent="0.3">
      <c r="A5" s="1" t="s">
        <v>30</v>
      </c>
      <c r="B5">
        <v>230</v>
      </c>
    </row>
    <row r="6" spans="1:2" x14ac:dyDescent="0.3">
      <c r="A6" s="1" t="s">
        <v>42</v>
      </c>
      <c r="B6">
        <v>150</v>
      </c>
    </row>
    <row r="7" spans="1:2" x14ac:dyDescent="0.3">
      <c r="A7" s="1" t="s">
        <v>58</v>
      </c>
      <c r="B7">
        <v>100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E1FD4-F673-4C2F-92BA-6E3214E5C86D}">
  <dimension ref="A1:B7"/>
  <sheetViews>
    <sheetView workbookViewId="0"/>
  </sheetViews>
  <sheetFormatPr defaultRowHeight="14.4" x14ac:dyDescent="0.3"/>
  <cols>
    <col min="1" max="1" width="17" bestFit="1" customWidth="1"/>
    <col min="2" max="2" width="12" bestFit="1" customWidth="1"/>
  </cols>
  <sheetData>
    <row r="1" spans="1:2" x14ac:dyDescent="0.3">
      <c r="A1" t="s">
        <v>72</v>
      </c>
      <c r="B1" t="s">
        <v>73</v>
      </c>
    </row>
    <row r="2" spans="1:2" x14ac:dyDescent="0.3">
      <c r="A2" s="1" t="s">
        <v>74</v>
      </c>
      <c r="B2">
        <v>15</v>
      </c>
    </row>
    <row r="3" spans="1:2" x14ac:dyDescent="0.3">
      <c r="A3" s="1" t="s">
        <v>75</v>
      </c>
      <c r="B3">
        <v>21260</v>
      </c>
    </row>
    <row r="4" spans="1:2" x14ac:dyDescent="0.3">
      <c r="A4" s="1" t="s">
        <v>76</v>
      </c>
      <c r="B4">
        <v>19832.7</v>
      </c>
    </row>
    <row r="5" spans="1:2" x14ac:dyDescent="0.3">
      <c r="A5" s="1" t="s">
        <v>77</v>
      </c>
      <c r="B5">
        <v>2790</v>
      </c>
    </row>
    <row r="6" spans="1:2" x14ac:dyDescent="0.3">
      <c r="A6" s="1" t="s">
        <v>78</v>
      </c>
      <c r="B6">
        <v>13.54218910036189</v>
      </c>
    </row>
    <row r="7" spans="1:2" x14ac:dyDescent="0.3">
      <c r="A7" s="1" t="s">
        <v>79</v>
      </c>
      <c r="B7">
        <v>4.3733333333333331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F8CA-5DA2-4616-9A7B-3002AA07570D}">
  <dimension ref="A3:P132"/>
  <sheetViews>
    <sheetView topLeftCell="A23" workbookViewId="0">
      <selection activeCell="O30" sqref="O30:P35"/>
    </sheetView>
  </sheetViews>
  <sheetFormatPr defaultRowHeight="14.4" x14ac:dyDescent="0.3"/>
  <cols>
    <col min="1" max="1" width="11" bestFit="1" customWidth="1"/>
    <col min="2" max="2" width="11.21875" bestFit="1" customWidth="1"/>
    <col min="3" max="3" width="11.6640625" bestFit="1" customWidth="1"/>
    <col min="12" max="12" width="11.21875" bestFit="1" customWidth="1"/>
  </cols>
  <sheetData>
    <row r="3" spans="1:12" x14ac:dyDescent="0.3">
      <c r="A3" t="s">
        <v>75</v>
      </c>
    </row>
    <row r="4" spans="1:12" x14ac:dyDescent="0.3">
      <c r="A4" s="1">
        <v>21260</v>
      </c>
      <c r="L4" t="s">
        <v>74</v>
      </c>
    </row>
    <row r="5" spans="1:12" x14ac:dyDescent="0.3">
      <c r="L5" s="7">
        <v>15</v>
      </c>
    </row>
    <row r="11" spans="1:12" x14ac:dyDescent="0.3">
      <c r="A11" t="s">
        <v>76</v>
      </c>
    </row>
    <row r="12" spans="1:12" x14ac:dyDescent="0.3">
      <c r="A12" s="1">
        <v>19832.699999999997</v>
      </c>
    </row>
    <row r="15" spans="1:12" x14ac:dyDescent="0.3">
      <c r="A15" t="s">
        <v>77</v>
      </c>
    </row>
    <row r="16" spans="1:12" x14ac:dyDescent="0.3">
      <c r="A16" s="1">
        <v>2790</v>
      </c>
    </row>
    <row r="18" spans="1:16" x14ac:dyDescent="0.3">
      <c r="A18" t="s">
        <v>88</v>
      </c>
    </row>
    <row r="19" spans="1:16" x14ac:dyDescent="0.3">
      <c r="A19" s="1">
        <v>13.542189100361893</v>
      </c>
    </row>
    <row r="21" spans="1:16" x14ac:dyDescent="0.3">
      <c r="A21" t="s">
        <v>89</v>
      </c>
    </row>
    <row r="22" spans="1:16" x14ac:dyDescent="0.3">
      <c r="A22" s="1">
        <v>4.3733333333333331</v>
      </c>
    </row>
    <row r="30" spans="1:16" x14ac:dyDescent="0.3">
      <c r="A30" s="3" t="s">
        <v>2</v>
      </c>
      <c r="B30" s="5" t="s">
        <v>75</v>
      </c>
      <c r="O30" s="3" t="s">
        <v>2</v>
      </c>
      <c r="P30" s="5" t="s">
        <v>75</v>
      </c>
    </row>
    <row r="31" spans="1:16" x14ac:dyDescent="0.3">
      <c r="A31" s="4" t="s">
        <v>16</v>
      </c>
      <c r="B31" s="1">
        <v>8720</v>
      </c>
      <c r="O31" s="4" t="s">
        <v>16</v>
      </c>
      <c r="P31" s="1">
        <v>8720</v>
      </c>
    </row>
    <row r="32" spans="1:16" x14ac:dyDescent="0.3">
      <c r="A32" s="4" t="s">
        <v>34</v>
      </c>
      <c r="B32" s="1">
        <v>4130</v>
      </c>
      <c r="O32" s="4" t="s">
        <v>34</v>
      </c>
      <c r="P32" s="1">
        <v>4130</v>
      </c>
    </row>
    <row r="33" spans="1:16" x14ac:dyDescent="0.3">
      <c r="A33" s="4" t="s">
        <v>22</v>
      </c>
      <c r="B33" s="1">
        <v>5790</v>
      </c>
      <c r="O33" s="4" t="s">
        <v>22</v>
      </c>
      <c r="P33" s="1">
        <v>5790</v>
      </c>
    </row>
    <row r="34" spans="1:16" x14ac:dyDescent="0.3">
      <c r="A34" s="4" t="s">
        <v>28</v>
      </c>
      <c r="B34" s="1">
        <v>2620</v>
      </c>
      <c r="O34" s="4" t="s">
        <v>28</v>
      </c>
      <c r="P34" s="1">
        <v>2620</v>
      </c>
    </row>
    <row r="35" spans="1:16" x14ac:dyDescent="0.3">
      <c r="A35" s="4" t="s">
        <v>81</v>
      </c>
      <c r="B35" s="1">
        <v>21260</v>
      </c>
      <c r="O35" s="4" t="s">
        <v>81</v>
      </c>
      <c r="P35" s="1">
        <v>21260</v>
      </c>
    </row>
    <row r="45" spans="1:16" x14ac:dyDescent="0.3">
      <c r="A45" s="3" t="s">
        <v>105</v>
      </c>
      <c r="B45" s="6" t="s">
        <v>75</v>
      </c>
    </row>
    <row r="46" spans="1:16" x14ac:dyDescent="0.3">
      <c r="A46" s="4" t="s">
        <v>86</v>
      </c>
      <c r="B46" s="1">
        <v>16390</v>
      </c>
    </row>
    <row r="47" spans="1:16" x14ac:dyDescent="0.3">
      <c r="A47" s="8" t="s">
        <v>90</v>
      </c>
      <c r="B47" s="1">
        <v>1200</v>
      </c>
    </row>
    <row r="48" spans="1:16" x14ac:dyDescent="0.3">
      <c r="A48" s="8" t="s">
        <v>91</v>
      </c>
      <c r="B48" s="1">
        <v>2450</v>
      </c>
    </row>
    <row r="49" spans="1:2" x14ac:dyDescent="0.3">
      <c r="A49" s="8" t="s">
        <v>92</v>
      </c>
      <c r="B49" s="1">
        <v>560</v>
      </c>
    </row>
    <row r="50" spans="1:2" x14ac:dyDescent="0.3">
      <c r="A50" s="8" t="s">
        <v>93</v>
      </c>
      <c r="B50" s="1">
        <v>880</v>
      </c>
    </row>
    <row r="51" spans="1:2" x14ac:dyDescent="0.3">
      <c r="A51" s="8" t="s">
        <v>94</v>
      </c>
      <c r="B51" s="1">
        <v>3300</v>
      </c>
    </row>
    <row r="52" spans="1:2" x14ac:dyDescent="0.3">
      <c r="A52" s="8" t="s">
        <v>95</v>
      </c>
      <c r="B52" s="1">
        <v>750</v>
      </c>
    </row>
    <row r="53" spans="1:2" x14ac:dyDescent="0.3">
      <c r="A53" s="8" t="s">
        <v>96</v>
      </c>
      <c r="B53" s="1">
        <v>1580</v>
      </c>
    </row>
    <row r="54" spans="1:2" x14ac:dyDescent="0.3">
      <c r="A54" s="8" t="s">
        <v>97</v>
      </c>
      <c r="B54" s="1">
        <v>670</v>
      </c>
    </row>
    <row r="55" spans="1:2" x14ac:dyDescent="0.3">
      <c r="A55" s="8" t="s">
        <v>98</v>
      </c>
      <c r="B55" s="1">
        <v>2200</v>
      </c>
    </row>
    <row r="56" spans="1:2" x14ac:dyDescent="0.3">
      <c r="A56" s="8" t="s">
        <v>99</v>
      </c>
      <c r="B56" s="1">
        <v>1850</v>
      </c>
    </row>
    <row r="57" spans="1:2" x14ac:dyDescent="0.3">
      <c r="A57" s="8" t="s">
        <v>100</v>
      </c>
      <c r="B57" s="1">
        <v>950</v>
      </c>
    </row>
    <row r="58" spans="1:2" x14ac:dyDescent="0.3">
      <c r="A58" s="4" t="s">
        <v>87</v>
      </c>
      <c r="B58" s="1">
        <v>4870</v>
      </c>
    </row>
    <row r="59" spans="1:2" x14ac:dyDescent="0.3">
      <c r="A59" s="8" t="s">
        <v>101</v>
      </c>
      <c r="B59" s="1">
        <v>480</v>
      </c>
    </row>
    <row r="60" spans="1:2" x14ac:dyDescent="0.3">
      <c r="A60" s="8" t="s">
        <v>102</v>
      </c>
      <c r="B60" s="1">
        <v>1050</v>
      </c>
    </row>
    <row r="61" spans="1:2" x14ac:dyDescent="0.3">
      <c r="A61" s="8" t="s">
        <v>103</v>
      </c>
      <c r="B61" s="1">
        <v>2600</v>
      </c>
    </row>
    <row r="62" spans="1:2" x14ac:dyDescent="0.3">
      <c r="A62" s="8" t="s">
        <v>104</v>
      </c>
      <c r="B62" s="1">
        <v>740</v>
      </c>
    </row>
    <row r="63" spans="1:2" x14ac:dyDescent="0.3">
      <c r="A63" s="4" t="s">
        <v>81</v>
      </c>
      <c r="B63" s="1">
        <v>21260</v>
      </c>
    </row>
    <row r="83" spans="1:2" x14ac:dyDescent="0.3">
      <c r="A83" s="3" t="s">
        <v>106</v>
      </c>
      <c r="B83" s="6" t="s">
        <v>77</v>
      </c>
    </row>
    <row r="84" spans="1:2" x14ac:dyDescent="0.3">
      <c r="A84" s="4" t="s">
        <v>42</v>
      </c>
      <c r="B84" s="1">
        <v>150</v>
      </c>
    </row>
    <row r="85" spans="1:2" x14ac:dyDescent="0.3">
      <c r="A85" s="4" t="s">
        <v>35</v>
      </c>
      <c r="B85" s="1">
        <v>260</v>
      </c>
    </row>
    <row r="86" spans="1:2" x14ac:dyDescent="0.3">
      <c r="A86" s="4" t="s">
        <v>18</v>
      </c>
      <c r="B86" s="1">
        <v>1260</v>
      </c>
    </row>
    <row r="87" spans="1:2" x14ac:dyDescent="0.3">
      <c r="A87" s="4" t="s">
        <v>24</v>
      </c>
      <c r="B87" s="1">
        <v>790</v>
      </c>
    </row>
    <row r="88" spans="1:2" x14ac:dyDescent="0.3">
      <c r="A88" s="4" t="s">
        <v>58</v>
      </c>
      <c r="B88" s="1">
        <v>100</v>
      </c>
    </row>
    <row r="89" spans="1:2" x14ac:dyDescent="0.3">
      <c r="A89" s="4" t="s">
        <v>30</v>
      </c>
      <c r="B89" s="1">
        <v>230</v>
      </c>
    </row>
    <row r="90" spans="1:2" x14ac:dyDescent="0.3">
      <c r="A90" s="4" t="s">
        <v>81</v>
      </c>
      <c r="B90" s="1">
        <v>2790</v>
      </c>
    </row>
    <row r="125" spans="1:2" x14ac:dyDescent="0.3">
      <c r="A125" s="3" t="s">
        <v>80</v>
      </c>
      <c r="B125" t="s">
        <v>77</v>
      </c>
    </row>
    <row r="126" spans="1:2" x14ac:dyDescent="0.3">
      <c r="A126" s="4" t="s">
        <v>42</v>
      </c>
      <c r="B126" s="1">
        <v>150</v>
      </c>
    </row>
    <row r="127" spans="1:2" x14ac:dyDescent="0.3">
      <c r="A127" s="4" t="s">
        <v>35</v>
      </c>
      <c r="B127" s="1">
        <v>260</v>
      </c>
    </row>
    <row r="128" spans="1:2" x14ac:dyDescent="0.3">
      <c r="A128" s="4" t="s">
        <v>18</v>
      </c>
      <c r="B128" s="1">
        <v>1260</v>
      </c>
    </row>
    <row r="129" spans="1:2" x14ac:dyDescent="0.3">
      <c r="A129" s="4" t="s">
        <v>24</v>
      </c>
      <c r="B129" s="1">
        <v>790</v>
      </c>
    </row>
    <row r="130" spans="1:2" x14ac:dyDescent="0.3">
      <c r="A130" s="4" t="s">
        <v>58</v>
      </c>
      <c r="B130" s="1">
        <v>100</v>
      </c>
    </row>
    <row r="131" spans="1:2" x14ac:dyDescent="0.3">
      <c r="A131" s="4" t="s">
        <v>30</v>
      </c>
      <c r="B131" s="1">
        <v>230</v>
      </c>
    </row>
    <row r="132" spans="1:2" x14ac:dyDescent="0.3">
      <c r="A132" s="4" t="s">
        <v>81</v>
      </c>
      <c r="B132" s="1">
        <v>2790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zoomScale="80" zoomScaleNormal="80" workbookViewId="0">
      <selection activeCell="AC19" sqref="AC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84B712-0D3D-46D9-9A8E-833FCBEE76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cleaned_data</vt:lpstr>
      <vt:lpstr>sales_by_country</vt:lpstr>
      <vt:lpstr>profit_by_category</vt:lpstr>
      <vt:lpstr>kpi_summary</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Hadiir</dc:creator>
  <cp:lastModifiedBy>Hadir Mourad</cp:lastModifiedBy>
  <dcterms:created xsi:type="dcterms:W3CDTF">2025-07-21T09:59:32Z</dcterms:created>
  <dcterms:modified xsi:type="dcterms:W3CDTF">2025-10-26T16:43:58Z</dcterms:modified>
</cp:coreProperties>
</file>